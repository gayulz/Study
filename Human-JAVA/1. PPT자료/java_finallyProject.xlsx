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uri/Desktop/"/>
    </mc:Choice>
  </mc:AlternateContent>
  <xr:revisionPtr revIDLastSave="0" documentId="13_ncr:1_{1A734C9A-76D0-5949-8CCD-CD0A010A43BD}" xr6:coauthVersionLast="47" xr6:coauthVersionMax="47" xr10:uidLastSave="{00000000-0000-0000-0000-000000000000}"/>
  <bookViews>
    <workbookView xWindow="30480" yWindow="6320" windowWidth="23880" windowHeight="16180" activeTab="1" xr2:uid="{B38DD304-D7FE-454F-8DCE-CC5120D108DE}"/>
  </bookViews>
  <sheets>
    <sheet name="계획서" sheetId="1" r:id="rId1"/>
    <sheet name="간트차트" sheetId="2" r:id="rId2"/>
    <sheet name="자료수집" sheetId="3" r:id="rId3"/>
    <sheet name="CreateQurey" sheetId="4" r:id="rId4"/>
    <sheet name="프로시저완성본" sheetId="7" r:id="rId5"/>
    <sheet name="Sheet1" sheetId="5" r:id="rId6"/>
    <sheet name="Sheet2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5" l="1"/>
  <c r="D43" i="5" a="1"/>
  <c r="D43" i="5" s="1"/>
  <c r="D52" i="5"/>
  <c r="D55" i="5" a="1"/>
  <c r="D55" i="5" s="1"/>
  <c r="D58" i="5"/>
  <c r="D61" i="5" a="1"/>
  <c r="D61" i="5" s="1"/>
  <c r="D64" i="5" a="1"/>
  <c r="D64" i="5" s="1"/>
  <c r="D67" i="5"/>
  <c r="D70" i="5" a="1"/>
  <c r="D70" i="5" s="1"/>
  <c r="D73" i="5" a="1"/>
  <c r="D73" i="5" s="1"/>
  <c r="D76" i="5" a="1"/>
  <c r="D7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<sst xmlns="http://schemas.openxmlformats.org/spreadsheetml/2006/main" count="920" uniqueCount="774">
  <si>
    <t>가유리의 프로젝트 계획서</t>
  </si>
  <si>
    <t>애완견/애완묘를 위한 애완동물 동반 입실 가능 숙소 정보 플랫폼</t>
    <phoneticPr fontId="1" type="noConversion"/>
  </si>
  <si>
    <t>11월20일 ~ 11월 30일 /  11일</t>
    <phoneticPr fontId="1" type="noConversion"/>
  </si>
  <si>
    <t>개발 계획</t>
    <phoneticPr fontId="1" type="noConversion"/>
  </si>
  <si>
    <t xml:space="preserve">프로젝트 기간 </t>
    <phoneticPr fontId="1" type="noConversion"/>
  </si>
  <si>
    <t>주제선정</t>
    <phoneticPr fontId="1" type="noConversion"/>
  </si>
  <si>
    <t xml:space="preserve">스스로 주제를 정하고 구현하면서 직무능력의 경험을 쌓자. </t>
    <phoneticPr fontId="1" type="noConversion"/>
  </si>
  <si>
    <t>개발 간트 차트</t>
    <phoneticPr fontId="1" type="noConversion"/>
  </si>
  <si>
    <t>요구사항 분석</t>
    <phoneticPr fontId="1" type="noConversion"/>
  </si>
  <si>
    <t>자료 수집</t>
    <phoneticPr fontId="1" type="noConversion"/>
  </si>
  <si>
    <t>설계 단계</t>
    <phoneticPr fontId="1" type="noConversion"/>
  </si>
  <si>
    <t>분석 단계</t>
    <phoneticPr fontId="1" type="noConversion"/>
  </si>
  <si>
    <t>클래스 설계서</t>
    <phoneticPr fontId="1" type="noConversion"/>
  </si>
  <si>
    <t>구현 단계</t>
    <phoneticPr fontId="1" type="noConversion"/>
  </si>
  <si>
    <t>데이터베이스 설계</t>
    <phoneticPr fontId="1" type="noConversion"/>
  </si>
  <si>
    <t>시험 단계</t>
    <phoneticPr fontId="1" type="noConversion"/>
  </si>
  <si>
    <t>20일</t>
    <phoneticPr fontId="1" type="noConversion"/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</si>
  <si>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</si>
  <si>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</si>
  <si>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</si>
  <si>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</si>
  <si>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</si>
  <si>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</si>
  <si>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</si>
  <si>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</si>
  <si>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</si>
  <si>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</si>
  <si>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PPT작성</t>
    <phoneticPr fontId="1" type="noConversion"/>
  </si>
  <si>
    <t>간트차트</t>
    <phoneticPr fontId="1" type="noConversion"/>
  </si>
  <si>
    <t>작업 기간을 정하기</t>
    <phoneticPr fontId="1" type="noConversion"/>
  </si>
  <si>
    <t>자료수집</t>
    <phoneticPr fontId="1" type="noConversion"/>
  </si>
  <si>
    <t>필요한 메뉴 및 구성 파악</t>
    <phoneticPr fontId="1" type="noConversion"/>
  </si>
  <si>
    <t>대분류 카테고리</t>
    <phoneticPr fontId="1" type="noConversion"/>
  </si>
  <si>
    <t>소분류 카테고리</t>
    <phoneticPr fontId="1" type="noConversion"/>
  </si>
  <si>
    <t>중분류 카테고리</t>
    <phoneticPr fontId="1" type="noConversion"/>
  </si>
  <si>
    <t>해당 지역별 예약 가능 숙소 정보</t>
    <phoneticPr fontId="1" type="noConversion"/>
  </si>
  <si>
    <t>해당지역</t>
    <phoneticPr fontId="1" type="noConversion"/>
  </si>
  <si>
    <t>전국 8도 기준으로 선정</t>
    <phoneticPr fontId="1" type="noConversion"/>
  </si>
  <si>
    <t>숙소정보</t>
    <phoneticPr fontId="1" type="noConversion"/>
  </si>
  <si>
    <t xml:space="preserve">예약가능한 방의 사진,날짜,금액,업체사장 연락처 </t>
    <phoneticPr fontId="1" type="noConversion"/>
  </si>
  <si>
    <t>ID/PASSWORD/이름/연락처/애완견-묘/이메일</t>
    <phoneticPr fontId="1" type="noConversion"/>
  </si>
  <si>
    <t>ID, PASSWORD입력</t>
    <phoneticPr fontId="1" type="noConversion"/>
  </si>
  <si>
    <t>회원관리 - 회원가입</t>
    <phoneticPr fontId="1" type="noConversion"/>
  </si>
  <si>
    <t>회원관리 - 로그인</t>
    <phoneticPr fontId="1" type="noConversion"/>
  </si>
  <si>
    <t>회원관리 - 나의정보</t>
    <phoneticPr fontId="1" type="noConversion"/>
  </si>
  <si>
    <t>가입한 정보 및 pass변경가능</t>
    <phoneticPr fontId="1" type="noConversion"/>
  </si>
  <si>
    <t>예약정보확인</t>
    <phoneticPr fontId="1" type="noConversion"/>
  </si>
  <si>
    <t>예약취소 기능</t>
    <phoneticPr fontId="1" type="noConversion"/>
  </si>
  <si>
    <t>예약하기메뉴</t>
    <phoneticPr fontId="1" type="noConversion"/>
  </si>
  <si>
    <t>예약메뉴</t>
    <phoneticPr fontId="1" type="noConversion"/>
  </si>
  <si>
    <t>예약자성함/연락처/날짜/예약 방정보</t>
    <phoneticPr fontId="1" type="noConversion"/>
  </si>
  <si>
    <t>결제시스템</t>
    <phoneticPr fontId="1" type="noConversion"/>
  </si>
  <si>
    <t>미구현</t>
    <phoneticPr fontId="1" type="noConversion"/>
  </si>
  <si>
    <t>상세 내부 구성 파악</t>
    <phoneticPr fontId="1" type="noConversion"/>
  </si>
  <si>
    <t>모텔/펜션/캠핑장(글램핑/오토캠핑)/호텔/예약관리/관리자페이지</t>
    <phoneticPr fontId="1" type="noConversion"/>
  </si>
  <si>
    <t>업종선택/지역/예약날짜/예약관리/관리자페이지</t>
    <phoneticPr fontId="1" type="noConversion"/>
  </si>
  <si>
    <t>유스케이스 명세서</t>
    <phoneticPr fontId="1" type="noConversion"/>
  </si>
  <si>
    <t>데이터베이스 테이블명세</t>
    <phoneticPr fontId="1" type="noConversion"/>
  </si>
  <si>
    <t>GUI구성</t>
    <phoneticPr fontId="1" type="noConversion"/>
  </si>
  <si>
    <t>DTO,DAO구성</t>
    <phoneticPr fontId="1" type="noConversion"/>
  </si>
  <si>
    <t>이벤트처리와 DAO연결</t>
    <phoneticPr fontId="1" type="noConversion"/>
  </si>
  <si>
    <t>코드재검사</t>
    <phoneticPr fontId="1" type="noConversion"/>
  </si>
  <si>
    <t>기능 분석</t>
    <phoneticPr fontId="1" type="noConversion"/>
  </si>
  <si>
    <t>E-R Diagram</t>
    <phoneticPr fontId="1" type="noConversion"/>
  </si>
  <si>
    <t>컴포넌트/인터페이스 설계</t>
    <phoneticPr fontId="1" type="noConversion"/>
  </si>
  <si>
    <t>통합 테스트</t>
    <phoneticPr fontId="1" type="noConversion"/>
  </si>
  <si>
    <t>Class 명세서</t>
    <phoneticPr fontId="1" type="noConversion"/>
  </si>
  <si>
    <t>예약원하는 숙박업체 종류와 지역 , 날짜를 선택하고 조회하면 해당 선택사항에 맞는 업체들의 정보가 출력된다</t>
    <phoneticPr fontId="1" type="noConversion"/>
  </si>
  <si>
    <t>업체 이름과 지역이 리스트 형식으로 나오며 리스트 클릭시 업체 사진과 방 정보사진이 나온다</t>
    <phoneticPr fontId="1" type="noConversion"/>
  </si>
  <si>
    <t>정상 예약이 되었을때 예약번호가 팝업으로 나온다</t>
    <phoneticPr fontId="1" type="noConversion"/>
  </si>
  <si>
    <t>팝업을 닫으면 원래 보았던 초기화면으로 돌아간다</t>
    <phoneticPr fontId="1" type="noConversion"/>
  </si>
  <si>
    <t>초기화면에 예약조회 버튼이 있다</t>
    <phoneticPr fontId="1" type="noConversion"/>
  </si>
  <si>
    <t>예약조회 버튼을 입력시 예약자의 예약번호와 연락처 성함을 입력받는다</t>
    <phoneticPr fontId="1" type="noConversion"/>
  </si>
  <si>
    <t>일치된 정보가 있다면 예약정보화면으로 바뀐다</t>
    <phoneticPr fontId="1" type="noConversion"/>
  </si>
  <si>
    <t>예약 정보 화면에는 예약한 업체 명/주소/날짜/지불금액이 나온다</t>
    <phoneticPr fontId="1" type="noConversion"/>
  </si>
  <si>
    <t>예약하기 버튼을 눌렀을때 예약화면으로 이동한다</t>
    <phoneticPr fontId="1" type="noConversion"/>
  </si>
  <si>
    <t>예약화면에는 예약자의 이름/연락처/결제정보/비밀번호/숙박날짜를 선택하고 선택한 만큼 결제금액이 자동으로 출력된다</t>
    <phoneticPr fontId="1" type="noConversion"/>
  </si>
  <si>
    <t>사진 하단에 업체명/주소/방타입/1일 숙박가격/업체 연락처가 기재된 설명이 보인다</t>
    <phoneticPr fontId="1" type="noConversion"/>
  </si>
  <si>
    <t>예약 리스트가 나올때 체크박스를 옆에 표기하고 체크박스 체크 후 예약취소도 할 수 있도록 한다</t>
    <phoneticPr fontId="1" type="noConversion"/>
  </si>
  <si>
    <t>roomName</t>
    <phoneticPr fontId="1" type="noConversion"/>
  </si>
  <si>
    <t>roomPrice</t>
    <phoneticPr fontId="1" type="noConversion"/>
  </si>
  <si>
    <t>customerName</t>
    <phoneticPr fontId="1" type="noConversion"/>
  </si>
  <si>
    <t>paymentInfo</t>
    <phoneticPr fontId="1" type="noConversion"/>
  </si>
  <si>
    <t>password</t>
    <phoneticPr fontId="1" type="noConversion"/>
  </si>
  <si>
    <t>체크인</t>
    <phoneticPr fontId="1" type="noConversion"/>
  </si>
  <si>
    <t>체크아웃</t>
    <phoneticPr fontId="1" type="noConversion"/>
  </si>
  <si>
    <t>checkOut</t>
    <phoneticPr fontId="1" type="noConversion"/>
  </si>
  <si>
    <t>date</t>
    <phoneticPr fontId="1" type="noConversion"/>
  </si>
  <si>
    <t>Customer</t>
    <phoneticPr fontId="1" type="noConversion"/>
  </si>
  <si>
    <t>-- Customer 테이블 생성</t>
  </si>
  <si>
    <t>업체등록번호</t>
    <phoneticPr fontId="1" type="noConversion"/>
  </si>
  <si>
    <t>업체명</t>
    <phoneticPr fontId="1" type="noConversion"/>
  </si>
  <si>
    <t>방이름</t>
    <phoneticPr fontId="1" type="noConversion"/>
  </si>
  <si>
    <t>업체주소</t>
    <phoneticPr fontId="1" type="noConversion"/>
  </si>
  <si>
    <t>예약번호</t>
    <phoneticPr fontId="1" type="noConversion"/>
  </si>
  <si>
    <t>-- RoomInfo 테이블 생성</t>
  </si>
  <si>
    <t>Customer 테이블 bookingNumber 시퀀스 생성</t>
    <phoneticPr fontId="1" type="noConversion"/>
  </si>
  <si>
    <t>-- Roominfo 테이블 roomNumber 시퀀스 생성</t>
  </si>
  <si>
    <t>방번호</t>
    <phoneticPr fontId="1" type="noConversion"/>
  </si>
  <si>
    <t>숙박업체</t>
    <phoneticPr fontId="1" type="noConversion"/>
  </si>
  <si>
    <t>업종</t>
    <phoneticPr fontId="1" type="noConversion"/>
  </si>
  <si>
    <t>업체전화번호</t>
    <phoneticPr fontId="1" type="noConversion"/>
  </si>
  <si>
    <t>Lodging</t>
    <phoneticPr fontId="1" type="noConversion"/>
  </si>
  <si>
    <t>lodgingUniqueNumber</t>
    <phoneticPr fontId="1" type="noConversion"/>
  </si>
  <si>
    <t>lodgingName</t>
    <phoneticPr fontId="1" type="noConversion"/>
  </si>
  <si>
    <t>제약조건</t>
    <phoneticPr fontId="1" type="noConversion"/>
  </si>
  <si>
    <t>PRIMARY KEY</t>
    <phoneticPr fontId="1" type="noConversion"/>
  </si>
  <si>
    <t>REFERENCES TABLE</t>
    <phoneticPr fontId="1" type="noConversion"/>
  </si>
  <si>
    <t>lodgingType</t>
    <phoneticPr fontId="1" type="noConversion"/>
  </si>
  <si>
    <t>lodgingAddr</t>
    <phoneticPr fontId="1" type="noConversion"/>
  </si>
  <si>
    <t>lodgingTel</t>
    <phoneticPr fontId="1" type="noConversion"/>
  </si>
  <si>
    <t>자료형</t>
    <phoneticPr fontId="1" type="noConversion"/>
  </si>
  <si>
    <t>varchar30</t>
    <phoneticPr fontId="1" type="noConversion"/>
  </si>
  <si>
    <t>varchar10</t>
    <phoneticPr fontId="1" type="noConversion"/>
  </si>
  <si>
    <t>varchar100</t>
    <phoneticPr fontId="1" type="noConversion"/>
  </si>
  <si>
    <t>CHECK IN('호텔','펜션',캠핑')</t>
    <phoneticPr fontId="1" type="noConversion"/>
  </si>
  <si>
    <t>RoomInfo</t>
    <phoneticPr fontId="1" type="noConversion"/>
  </si>
  <si>
    <t>방정보</t>
    <phoneticPr fontId="1" type="noConversion"/>
  </si>
  <si>
    <t>방가격</t>
    <phoneticPr fontId="1" type="noConversion"/>
  </si>
  <si>
    <t>NUMBER</t>
    <phoneticPr fontId="1" type="noConversion"/>
  </si>
  <si>
    <t>number</t>
    <phoneticPr fontId="1" type="noConversion"/>
  </si>
  <si>
    <t>FOREIGN KEY</t>
    <phoneticPr fontId="1" type="noConversion"/>
  </si>
  <si>
    <t>고객</t>
    <phoneticPr fontId="1" type="noConversion"/>
  </si>
  <si>
    <t>고객명</t>
    <phoneticPr fontId="1" type="noConversion"/>
  </si>
  <si>
    <t>고객연락처</t>
    <phoneticPr fontId="1" type="noConversion"/>
  </si>
  <si>
    <t>비밀번호</t>
    <phoneticPr fontId="1" type="noConversion"/>
  </si>
  <si>
    <t>결제정보</t>
    <phoneticPr fontId="1" type="noConversion"/>
  </si>
  <si>
    <t>bookingNumber</t>
    <phoneticPr fontId="1" type="noConversion"/>
  </si>
  <si>
    <t>customerPhone</t>
    <phoneticPr fontId="1" type="noConversion"/>
  </si>
  <si>
    <t>checkIN</t>
    <phoneticPr fontId="1" type="noConversion"/>
  </si>
  <si>
    <t>varcar10</t>
    <phoneticPr fontId="1" type="noConversion"/>
  </si>
  <si>
    <t>varchar20</t>
    <phoneticPr fontId="1" type="noConversion"/>
  </si>
  <si>
    <t>varchar15</t>
    <phoneticPr fontId="1" type="noConversion"/>
  </si>
  <si>
    <t>CHECK IN('카드','무통장입금','모바일페이)</t>
    <phoneticPr fontId="1" type="noConversion"/>
  </si>
  <si>
    <t>예약</t>
    <phoneticPr fontId="1" type="noConversion"/>
  </si>
  <si>
    <t>Booking</t>
    <phoneticPr fontId="1" type="noConversion"/>
  </si>
  <si>
    <t>roomNumber</t>
    <phoneticPr fontId="1" type="noConversion"/>
  </si>
  <si>
    <t>숙박일수</t>
    <phoneticPr fontId="1" type="noConversion"/>
  </si>
  <si>
    <t>총결제금액</t>
    <phoneticPr fontId="1" type="noConversion"/>
  </si>
  <si>
    <t>reservationDay</t>
    <phoneticPr fontId="1" type="noConversion"/>
  </si>
  <si>
    <t>priceTotal</t>
    <phoneticPr fontId="1" type="noConversion"/>
  </si>
  <si>
    <t>number(10)</t>
    <phoneticPr fontId="1" type="noConversion"/>
  </si>
  <si>
    <t>고유번호</t>
    <phoneticPr fontId="1" type="noConversion"/>
  </si>
  <si>
    <t>이름</t>
    <phoneticPr fontId="1" type="noConversion"/>
  </si>
  <si>
    <t>연락처</t>
    <phoneticPr fontId="1" type="noConversion"/>
  </si>
  <si>
    <t>고객에게 입력받는것</t>
    <phoneticPr fontId="1" type="noConversion"/>
  </si>
  <si>
    <t>원하는 업종</t>
    <phoneticPr fontId="1" type="noConversion"/>
  </si>
  <si>
    <t>원하는 위치</t>
    <phoneticPr fontId="1" type="noConversion"/>
  </si>
  <si>
    <t>원하는 날짜</t>
    <phoneticPr fontId="1" type="noConversion"/>
  </si>
  <si>
    <t xml:space="preserve">입력받은 걸로 검색해야하는것 </t>
    <phoneticPr fontId="1" type="noConversion"/>
  </si>
  <si>
    <t>원하는 위치와 업종을 방정보에서 추출한다</t>
    <phoneticPr fontId="1" type="noConversion"/>
  </si>
  <si>
    <t>추출한 정보를 가지고 고객이 원하는 날짜가 있는지본다</t>
    <phoneticPr fontId="1" type="noConversion"/>
  </si>
  <si>
    <t>추출한 정보 중 원하는 날짜와 다를 경우 보여준다</t>
    <phoneticPr fontId="1" type="noConversion"/>
  </si>
  <si>
    <t>추출한 정보로 보여줘야하는 정보</t>
    <phoneticPr fontId="1" type="noConversion"/>
  </si>
  <si>
    <t>업종/업체명/업체주소/방이름/방가격</t>
    <phoneticPr fontId="1" type="noConversion"/>
  </si>
  <si>
    <t>고객에게 입력받는 것</t>
    <phoneticPr fontId="1" type="noConversion"/>
  </si>
  <si>
    <t>원하는 업체이름과 방을 선택한다 예약하기를 누른다</t>
    <phoneticPr fontId="1" type="noConversion"/>
  </si>
  <si>
    <t>이름과 연락처 비밀번호 결제정보를 입력받고 체크인 체크아웃은 처음 조회했을때 날짜로 세팅해서 진행한다</t>
    <phoneticPr fontId="1" type="noConversion"/>
  </si>
  <si>
    <t xml:space="preserve">예약 완료시 해야할 것 </t>
    <phoneticPr fontId="1" type="noConversion"/>
  </si>
  <si>
    <t>부킹테이블에 예약번호,방번호,체크인,체크아웃,숙박일수,총금액 insert</t>
    <phoneticPr fontId="1" type="noConversion"/>
  </si>
  <si>
    <t>히든목록</t>
    <phoneticPr fontId="1" type="noConversion"/>
  </si>
  <si>
    <t>------------------------------------------------------</t>
  </si>
  <si>
    <t>원하는 위치와 업종을 가지고 부킹테이블과 비교한다</t>
    <phoneticPr fontId="1" type="noConversion"/>
  </si>
  <si>
    <t>원하는 체크인 체크아웃 날짜가 다른 데이터중에</t>
    <phoneticPr fontId="1" type="noConversion"/>
  </si>
  <si>
    <t>방번호가 일치하지 않는 데이터를 추출한다</t>
    <phoneticPr fontId="1" type="noConversion"/>
  </si>
  <si>
    <t>추출목록</t>
    <phoneticPr fontId="1" type="noConversion"/>
  </si>
  <si>
    <t xml:space="preserve">방정보 </t>
    <phoneticPr fontId="1" type="noConversion"/>
  </si>
  <si>
    <t>주소</t>
    <phoneticPr fontId="1" type="noConversion"/>
  </si>
  <si>
    <t>숙소업소</t>
    <phoneticPr fontId="1" type="noConversion"/>
  </si>
  <si>
    <t>리턴 결과값</t>
    <phoneticPr fontId="1" type="noConversion"/>
  </si>
  <si>
    <t>추출</t>
    <phoneticPr fontId="1" type="noConversion"/>
  </si>
  <si>
    <t>dto</t>
    <phoneticPr fontId="1" type="noConversion"/>
  </si>
  <si>
    <t>기존세팅</t>
    <phoneticPr fontId="1" type="noConversion"/>
  </si>
  <si>
    <t>INSERT</t>
    <phoneticPr fontId="1" type="noConversion"/>
  </si>
  <si>
    <t>총금액</t>
    <phoneticPr fontId="1" type="noConversion"/>
  </si>
  <si>
    <t>AS</t>
  </si>
  <si>
    <t>CREATE OR REPLACE PROCEDURE Search_room_proc (</t>
  </si>
  <si>
    <t>) AS</t>
  </si>
  <si>
    <t>BEGIN</t>
  </si>
  <si>
    <t>END Search_room_proc;</t>
  </si>
  <si>
    <t>검색 프로시저 구현</t>
    <phoneticPr fontId="1" type="noConversion"/>
  </si>
  <si>
    <t>CREATE OR REPLACE PROCEDURE Insert_customer_proc(</t>
  </si>
  <si>
    <t>END Insert_customer_proc;</t>
  </si>
  <si>
    <t>고객 예약시 매개변수를 입력받고 자동으로 customer 테이블과 bookingList 테이블에 데이터 삽입</t>
    <phoneticPr fontId="1" type="noConversion"/>
  </si>
  <si>
    <t>….?</t>
    <phoneticPr fontId="1" type="noConversion"/>
  </si>
  <si>
    <t>CREATE SEQUENCE roomPK_auto_sq</t>
    <phoneticPr fontId="1" type="noConversion"/>
  </si>
  <si>
    <t>INCREMENT BY 1</t>
  </si>
  <si>
    <t>START WITH 1</t>
  </si>
  <si>
    <t>MAXVALUE 999</t>
  </si>
  <si>
    <t>CYCLE;</t>
  </si>
  <si>
    <t>-----------------------------------------------------------------------------------------------------</t>
  </si>
  <si>
    <t>-- 원하는 업종/지역/체크인 체크아웃 날자를 설정시 가능한 방을 찾아서 리턴해주는 프로시저</t>
  </si>
  <si>
    <r>
      <t>CREATE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OR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REPLACE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PROCEDURE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Search_room_proc</t>
    </r>
    <r>
      <rPr>
        <sz val="18"/>
        <color rgb="FFAAAAAA"/>
        <rFont val="Menlo"/>
        <family val="2"/>
      </rPr>
      <t xml:space="preserve"> (</t>
    </r>
  </si>
  <si>
    <r>
      <t>p_lodgingType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VARCHAR2</t>
    </r>
    <r>
      <rPr>
        <sz val="18"/>
        <color rgb="FFAAAAAA"/>
        <rFont val="Menlo"/>
        <family val="2"/>
      </rPr>
      <t>,</t>
    </r>
  </si>
  <si>
    <r>
      <t>p_lodgingAddr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VARCHAR2</t>
    </r>
    <r>
      <rPr>
        <sz val="18"/>
        <color rgb="FFAAAAAA"/>
        <rFont val="Menlo"/>
        <family val="2"/>
      </rPr>
      <t>,</t>
    </r>
  </si>
  <si>
    <r>
      <t>p_checkIn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DATE</t>
    </r>
    <r>
      <rPr>
        <sz val="18"/>
        <color rgb="FFAAAAAA"/>
        <rFont val="Menlo"/>
        <family val="2"/>
      </rPr>
      <t>,</t>
    </r>
  </si>
  <si>
    <r>
      <t>p_checkOut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DATE</t>
    </r>
    <r>
      <rPr>
        <sz val="18"/>
        <color rgb="FFAAAAAA"/>
        <rFont val="Menlo"/>
        <family val="2"/>
      </rPr>
      <t>,</t>
    </r>
  </si>
  <si>
    <r>
      <t>p_results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OUT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SYS_REFCURSOR</t>
    </r>
  </si>
  <si>
    <r>
      <t xml:space="preserve">) </t>
    </r>
    <r>
      <rPr>
        <b/>
        <sz val="18"/>
        <color rgb="FF739ECA"/>
        <rFont val="Menlo"/>
        <family val="2"/>
      </rPr>
      <t>AS</t>
    </r>
  </si>
  <si>
    <r>
      <t>OPEN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p_results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FOR</t>
    </r>
  </si>
  <si>
    <r>
      <t>SELECT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l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lodgingName</t>
    </r>
    <r>
      <rPr>
        <sz val="18"/>
        <color rgb="FFAAAAAA"/>
        <rFont val="Menlo"/>
        <family val="2"/>
      </rPr>
      <t xml:space="preserve">, </t>
    </r>
    <r>
      <rPr>
        <sz val="18"/>
        <color rgb="FF9E9E9E"/>
        <rFont val="Menlo"/>
        <family val="2"/>
      </rPr>
      <t>ri</t>
    </r>
    <r>
      <rPr>
        <sz val="18"/>
        <color rgb="FFAAAAAA"/>
        <rFont val="Menlo"/>
        <family val="2"/>
      </rPr>
      <t>.*</t>
    </r>
  </si>
  <si>
    <r>
      <t>FROM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RoomInfo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ri</t>
    </r>
  </si>
  <si>
    <r>
      <t>JOIN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Lodging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l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ON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ri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lodgingUniqueNumber</t>
    </r>
    <r>
      <rPr>
        <sz val="18"/>
        <color rgb="FFAAAAAA"/>
        <rFont val="Menlo"/>
        <family val="2"/>
      </rPr>
      <t xml:space="preserve"> = </t>
    </r>
    <r>
      <rPr>
        <sz val="18"/>
        <color rgb="FF9E9E9E"/>
        <rFont val="Menlo"/>
        <family val="2"/>
      </rPr>
      <t>l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lodgingUniqueNumber</t>
    </r>
  </si>
  <si>
    <r>
      <t>WHERE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ri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lodgingType</t>
    </r>
    <r>
      <rPr>
        <sz val="18"/>
        <color rgb="FFAAAAAA"/>
        <rFont val="Menlo"/>
        <family val="2"/>
      </rPr>
      <t xml:space="preserve"> = </t>
    </r>
    <r>
      <rPr>
        <sz val="18"/>
        <color rgb="FF9E9E9E"/>
        <rFont val="Menlo"/>
        <family val="2"/>
      </rPr>
      <t>p_lodgingType</t>
    </r>
  </si>
  <si>
    <r>
      <t>AND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ri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lodgingAddr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LIKE</t>
    </r>
    <r>
      <rPr>
        <sz val="18"/>
        <color rgb="FFAAAAAA"/>
        <rFont val="Menlo"/>
        <family val="2"/>
      </rPr>
      <t xml:space="preserve"> </t>
    </r>
    <r>
      <rPr>
        <sz val="18"/>
        <color rgb="FFCAC580"/>
        <rFont val="Menlo"/>
        <family val="2"/>
      </rPr>
      <t>'%'</t>
    </r>
    <r>
      <rPr>
        <sz val="18"/>
        <color rgb="FFAAAAAA"/>
        <rFont val="Menlo"/>
        <family val="2"/>
      </rPr>
      <t xml:space="preserve"> || </t>
    </r>
    <r>
      <rPr>
        <sz val="18"/>
        <color rgb="FF9E9E9E"/>
        <rFont val="Menlo"/>
        <family val="2"/>
      </rPr>
      <t>p_lodgingAddr</t>
    </r>
    <r>
      <rPr>
        <sz val="18"/>
        <color rgb="FFAAAAAA"/>
        <rFont val="Menlo"/>
        <family val="2"/>
      </rPr>
      <t xml:space="preserve"> || </t>
    </r>
    <r>
      <rPr>
        <sz val="18"/>
        <color rgb="FFCAC580"/>
        <rFont val="Menlo"/>
        <family val="2"/>
      </rPr>
      <t>'%'</t>
    </r>
  </si>
  <si>
    <r>
      <t>AND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NOT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EXISTS</t>
    </r>
    <r>
      <rPr>
        <sz val="18"/>
        <color rgb="FFAAAAAA"/>
        <rFont val="Menlo"/>
        <family val="2"/>
      </rPr>
      <t xml:space="preserve"> (</t>
    </r>
  </si>
  <si>
    <r>
      <t>SELECT</t>
    </r>
    <r>
      <rPr>
        <sz val="18"/>
        <color rgb="FFAAAAAA"/>
        <rFont val="Menlo"/>
        <family val="2"/>
      </rPr>
      <t xml:space="preserve"> </t>
    </r>
    <r>
      <rPr>
        <sz val="18"/>
        <color rgb="FFC0C0C0"/>
        <rFont val="Menlo"/>
        <family val="2"/>
      </rPr>
      <t>1</t>
    </r>
  </si>
  <si>
    <r>
      <t>FROM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BookingList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bl</t>
    </r>
  </si>
  <si>
    <r>
      <t>WHERE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bl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roomNumber</t>
    </r>
    <r>
      <rPr>
        <sz val="18"/>
        <color rgb="FFAAAAAA"/>
        <rFont val="Menlo"/>
        <family val="2"/>
      </rPr>
      <t xml:space="preserve"> = </t>
    </r>
    <r>
      <rPr>
        <sz val="18"/>
        <color rgb="FF9E9E9E"/>
        <rFont val="Menlo"/>
        <family val="2"/>
      </rPr>
      <t>ri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roomNumber</t>
    </r>
  </si>
  <si>
    <r>
      <t>AND</t>
    </r>
    <r>
      <rPr>
        <sz val="18"/>
        <color rgb="FFAAAAAA"/>
        <rFont val="Menlo"/>
        <family val="2"/>
      </rPr>
      <t xml:space="preserve"> (</t>
    </r>
    <r>
      <rPr>
        <sz val="18"/>
        <color rgb="FF9E9E9E"/>
        <rFont val="Menlo"/>
        <family val="2"/>
      </rPr>
      <t>p_checkIn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BETWEEN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bl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checkIN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AND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bl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checkOut</t>
    </r>
  </si>
  <si>
    <r>
      <t>OR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p_checkOut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BETWEEN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bl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checkIN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AND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bl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checkOut</t>
    </r>
    <r>
      <rPr>
        <sz val="18"/>
        <color rgb="FFAAAAAA"/>
        <rFont val="Menlo"/>
        <family val="2"/>
      </rPr>
      <t>))</t>
    </r>
  </si>
  <si>
    <r>
      <t>ORDER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BY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roomNumber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ASC</t>
    </r>
    <r>
      <rPr>
        <sz val="18"/>
        <color rgb="FFEECC64"/>
        <rFont val="Menlo"/>
        <family val="2"/>
      </rPr>
      <t>;</t>
    </r>
  </si>
  <si>
    <r>
      <t>END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Search_room_proc</t>
    </r>
    <r>
      <rPr>
        <sz val="18"/>
        <color rgb="FFEECC64"/>
        <rFont val="Menlo"/>
        <family val="2"/>
      </rPr>
      <t>;</t>
    </r>
  </si>
  <si>
    <t xml:space="preserve">-- 고객 예약 완료시 BookingList 와 Customer 테이블에 자동으로 insert 하는 프로시저 </t>
  </si>
  <si>
    <r>
      <t>CREATE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OR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REPLACE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PROCEDURE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Insert_customer_proc</t>
    </r>
    <r>
      <rPr>
        <sz val="18"/>
        <color rgb="FFAAAAAA"/>
        <rFont val="Menlo"/>
        <family val="2"/>
      </rPr>
      <t>(</t>
    </r>
  </si>
  <si>
    <r>
      <t>p_roomNumber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RoomInfo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roomNumber</t>
    </r>
    <r>
      <rPr>
        <sz val="18"/>
        <color rgb="FFAAAAAA"/>
        <rFont val="Menlo"/>
        <family val="2"/>
      </rPr>
      <t>%</t>
    </r>
    <r>
      <rPr>
        <b/>
        <sz val="18"/>
        <color rgb="FF739ECA"/>
        <rFont val="Menlo"/>
        <family val="2"/>
      </rPr>
      <t>TYPE</t>
    </r>
    <r>
      <rPr>
        <sz val="18"/>
        <color rgb="FFAAAAAA"/>
        <rFont val="Menlo"/>
        <family val="2"/>
      </rPr>
      <t>,</t>
    </r>
  </si>
  <si>
    <r>
      <t>p_customerName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VARCHAR2</t>
    </r>
    <r>
      <rPr>
        <sz val="18"/>
        <color rgb="FFAAAAAA"/>
        <rFont val="Menlo"/>
        <family val="2"/>
      </rPr>
      <t>,</t>
    </r>
  </si>
  <si>
    <r>
      <t>p_customerPhone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VARCHAR2</t>
    </r>
    <r>
      <rPr>
        <sz val="18"/>
        <color rgb="FFAAAAAA"/>
        <rFont val="Menlo"/>
        <family val="2"/>
      </rPr>
      <t>,</t>
    </r>
  </si>
  <si>
    <r>
      <t>p_password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VARCHAR2</t>
    </r>
    <r>
      <rPr>
        <sz val="18"/>
        <color rgb="FFAAAAAA"/>
        <rFont val="Menlo"/>
        <family val="2"/>
      </rPr>
      <t>,</t>
    </r>
  </si>
  <si>
    <r>
      <t>p_paymentInfo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VARCHAR2</t>
    </r>
    <r>
      <rPr>
        <sz val="18"/>
        <color rgb="FFAAAAAA"/>
        <rFont val="Menlo"/>
        <family val="2"/>
      </rPr>
      <t>,</t>
    </r>
  </si>
  <si>
    <r>
      <t>p_checkOut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DATE</t>
    </r>
    <r>
      <rPr>
        <sz val="18"/>
        <color rgb="FFAAAAAA"/>
        <rFont val="Menlo"/>
        <family val="2"/>
      </rPr>
      <t>)</t>
    </r>
  </si>
  <si>
    <t>-- 변수선언</t>
  </si>
  <si>
    <r>
      <t>vn_bookingNumber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NUMBER</t>
    </r>
    <r>
      <rPr>
        <sz val="18"/>
        <color rgb="FFEECC64"/>
        <rFont val="Menlo"/>
        <family val="2"/>
      </rPr>
      <t>;</t>
    </r>
  </si>
  <si>
    <r>
      <t>vn_reservationDay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NUMBER</t>
    </r>
    <r>
      <rPr>
        <sz val="18"/>
        <color rgb="FFEECC64"/>
        <rFont val="Menlo"/>
        <family val="2"/>
      </rPr>
      <t>;</t>
    </r>
  </si>
  <si>
    <r>
      <t>vn_priceTotal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NUMBER</t>
    </r>
    <r>
      <rPr>
        <sz val="18"/>
        <color rgb="FFEECC64"/>
        <rFont val="Menlo"/>
        <family val="2"/>
      </rPr>
      <t>;</t>
    </r>
  </si>
  <si>
    <r>
      <t>vn_oneDayPrice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NUMBER</t>
    </r>
    <r>
      <rPr>
        <sz val="18"/>
        <color rgb="FFEECC64"/>
        <rFont val="Menlo"/>
        <family val="2"/>
      </rPr>
      <t>;</t>
    </r>
  </si>
  <si>
    <t xml:space="preserve">-- 예약을 받는 내용으로 매개변수를 받으면 먼저 customer 테이블에 데이터 입력 </t>
  </si>
  <si>
    <r>
      <t>INSERT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INTO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Customer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VALUES</t>
    </r>
    <r>
      <rPr>
        <sz val="18"/>
        <color rgb="FFAAAAAA"/>
        <rFont val="Menlo"/>
        <family val="2"/>
      </rPr>
      <t>(</t>
    </r>
    <r>
      <rPr>
        <sz val="18"/>
        <color rgb="FF9E9E9E"/>
        <rFont val="Menlo"/>
        <family val="2"/>
      </rPr>
      <t>booking_auto_sq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NEXTVAL</t>
    </r>
    <r>
      <rPr>
        <sz val="18"/>
        <color rgb="FFAAAAAA"/>
        <rFont val="Menlo"/>
        <family val="2"/>
      </rPr>
      <t>,</t>
    </r>
    <r>
      <rPr>
        <sz val="18"/>
        <color rgb="FF9E9E9E"/>
        <rFont val="Menlo"/>
        <family val="2"/>
      </rPr>
      <t>p_customerName</t>
    </r>
    <r>
      <rPr>
        <sz val="18"/>
        <color rgb="FFAAAAAA"/>
        <rFont val="Menlo"/>
        <family val="2"/>
      </rPr>
      <t>,</t>
    </r>
    <r>
      <rPr>
        <sz val="18"/>
        <color rgb="FF9E9E9E"/>
        <rFont val="Menlo"/>
        <family val="2"/>
      </rPr>
      <t>p_customerPhone</t>
    </r>
    <r>
      <rPr>
        <sz val="18"/>
        <color rgb="FFAAAAAA"/>
        <rFont val="Menlo"/>
        <family val="2"/>
      </rPr>
      <t>,</t>
    </r>
    <r>
      <rPr>
        <sz val="18"/>
        <color rgb="FF9E9E9E"/>
        <rFont val="Menlo"/>
        <family val="2"/>
      </rPr>
      <t>p_password</t>
    </r>
    <r>
      <rPr>
        <sz val="18"/>
        <color rgb="FFAAAAAA"/>
        <rFont val="Menlo"/>
        <family val="2"/>
      </rPr>
      <t>,</t>
    </r>
    <r>
      <rPr>
        <sz val="18"/>
        <color rgb="FF9E9E9E"/>
        <rFont val="Menlo"/>
        <family val="2"/>
      </rPr>
      <t>p_paymentInfo</t>
    </r>
    <r>
      <rPr>
        <sz val="18"/>
        <color rgb="FFAAAAAA"/>
        <rFont val="Menlo"/>
        <family val="2"/>
      </rPr>
      <t>,</t>
    </r>
    <r>
      <rPr>
        <sz val="18"/>
        <color rgb="FF9E9E9E"/>
        <rFont val="Menlo"/>
        <family val="2"/>
      </rPr>
      <t>p_checkIn</t>
    </r>
    <r>
      <rPr>
        <sz val="18"/>
        <color rgb="FFAAAAAA"/>
        <rFont val="Menlo"/>
        <family val="2"/>
      </rPr>
      <t>,</t>
    </r>
    <r>
      <rPr>
        <sz val="18"/>
        <color rgb="FF9E9E9E"/>
        <rFont val="Menlo"/>
        <family val="2"/>
      </rPr>
      <t>p_checkOut</t>
    </r>
    <r>
      <rPr>
        <sz val="18"/>
        <color rgb="FFAAAAAA"/>
        <rFont val="Menlo"/>
        <family val="2"/>
      </rPr>
      <t>)</t>
    </r>
    <r>
      <rPr>
        <sz val="18"/>
        <color rgb="FFEECC64"/>
        <rFont val="Menlo"/>
        <family val="2"/>
      </rPr>
      <t>;</t>
    </r>
  </si>
  <si>
    <t xml:space="preserve">-- 입력받은 방번호기준으로 1일치의 숙박료를 변수에 대입 </t>
  </si>
  <si>
    <r>
      <t>SELECT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roomPrice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INTO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vn_oneDayPrice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FROM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RoomInfo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WHERE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roomNumber</t>
    </r>
    <r>
      <rPr>
        <sz val="18"/>
        <color rgb="FFAAAAAA"/>
        <rFont val="Menlo"/>
        <family val="2"/>
      </rPr>
      <t xml:space="preserve"> = </t>
    </r>
    <r>
      <rPr>
        <sz val="18"/>
        <color rgb="FF9E9E9E"/>
        <rFont val="Menlo"/>
        <family val="2"/>
      </rPr>
      <t>p_roomNumber</t>
    </r>
    <r>
      <rPr>
        <sz val="18"/>
        <color rgb="FFEECC64"/>
        <rFont val="Menlo"/>
        <family val="2"/>
      </rPr>
      <t>;</t>
    </r>
  </si>
  <si>
    <t xml:space="preserve">-- 체크인과 체크아웃 기간차를 둔 숙박일수 계산 후 대입 </t>
  </si>
  <si>
    <r>
      <t>vn_reservationDay</t>
    </r>
    <r>
      <rPr>
        <sz val="18"/>
        <color rgb="FFAAAAAA"/>
        <rFont val="Menlo"/>
        <family val="2"/>
      </rPr>
      <t xml:space="preserve"> := </t>
    </r>
    <r>
      <rPr>
        <sz val="18"/>
        <color rgb="FF9E9E9E"/>
        <rFont val="Menlo"/>
        <family val="2"/>
      </rPr>
      <t>p_checkOut</t>
    </r>
    <r>
      <rPr>
        <sz val="18"/>
        <color rgb="FFAAAAAA"/>
        <rFont val="Menlo"/>
        <family val="2"/>
      </rPr>
      <t>-</t>
    </r>
    <r>
      <rPr>
        <sz val="18"/>
        <color rgb="FF9E9E9E"/>
        <rFont val="Menlo"/>
        <family val="2"/>
      </rPr>
      <t>p_checkIn</t>
    </r>
    <r>
      <rPr>
        <sz val="18"/>
        <color rgb="FFEECC64"/>
        <rFont val="Menlo"/>
        <family val="2"/>
      </rPr>
      <t>;</t>
    </r>
  </si>
  <si>
    <t xml:space="preserve">-- 해당 방번호의 금액을 곱한 총 금액계산 후 대입 </t>
  </si>
  <si>
    <r>
      <t>vn_priceTotal</t>
    </r>
    <r>
      <rPr>
        <sz val="18"/>
        <color rgb="FFAAAAAA"/>
        <rFont val="Menlo"/>
        <family val="2"/>
      </rPr>
      <t xml:space="preserve"> := </t>
    </r>
    <r>
      <rPr>
        <sz val="18"/>
        <color rgb="FF9E9E9E"/>
        <rFont val="Menlo"/>
        <family val="2"/>
      </rPr>
      <t>vn_reservationDay</t>
    </r>
    <r>
      <rPr>
        <sz val="18"/>
        <color rgb="FFAAAAAA"/>
        <rFont val="Menlo"/>
        <family val="2"/>
      </rPr>
      <t>*</t>
    </r>
    <r>
      <rPr>
        <sz val="18"/>
        <color rgb="FF9E9E9E"/>
        <rFont val="Menlo"/>
        <family val="2"/>
      </rPr>
      <t>vn_oneDayPrice</t>
    </r>
    <r>
      <rPr>
        <sz val="18"/>
        <color rgb="FFEECC64"/>
        <rFont val="Menlo"/>
        <family val="2"/>
      </rPr>
      <t>;</t>
    </r>
  </si>
  <si>
    <t>-- 시퀀스로 생성된 bookingNumber 찾은 뒤 변수에 대입</t>
  </si>
  <si>
    <r>
      <t>SELECT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bookingNumber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INTO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vn_bookingNumber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FROM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Customer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WHERE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customerName</t>
    </r>
    <r>
      <rPr>
        <sz val="18"/>
        <color rgb="FFAAAAAA"/>
        <rFont val="Menlo"/>
        <family val="2"/>
      </rPr>
      <t xml:space="preserve"> = </t>
    </r>
    <r>
      <rPr>
        <sz val="18"/>
        <color rgb="FF9E9E9E"/>
        <rFont val="Menlo"/>
        <family val="2"/>
      </rPr>
      <t>p_customerName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AND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customerPhone</t>
    </r>
    <r>
      <rPr>
        <sz val="18"/>
        <color rgb="FFAAAAAA"/>
        <rFont val="Menlo"/>
        <family val="2"/>
      </rPr>
      <t xml:space="preserve"> = </t>
    </r>
    <r>
      <rPr>
        <sz val="18"/>
        <color rgb="FF9E9E9E"/>
        <rFont val="Menlo"/>
        <family val="2"/>
      </rPr>
      <t>p_customerPhone</t>
    </r>
    <r>
      <rPr>
        <sz val="18"/>
        <color rgb="FFEECC64"/>
        <rFont val="Menlo"/>
        <family val="2"/>
      </rPr>
      <t>;</t>
    </r>
  </si>
  <si>
    <t xml:space="preserve">-- BookingList 테이블에 데이터 삽입 </t>
  </si>
  <si>
    <r>
      <t>INSERT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INTO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BookingList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VALUES</t>
    </r>
    <r>
      <rPr>
        <sz val="18"/>
        <color rgb="FFAAAAAA"/>
        <rFont val="Menlo"/>
        <family val="2"/>
      </rPr>
      <t xml:space="preserve"> (</t>
    </r>
    <r>
      <rPr>
        <sz val="18"/>
        <color rgb="FF9E9E9E"/>
        <rFont val="Menlo"/>
        <family val="2"/>
      </rPr>
      <t>p_roomNumber</t>
    </r>
    <r>
      <rPr>
        <sz val="18"/>
        <color rgb="FFAAAAAA"/>
        <rFont val="Menlo"/>
        <family val="2"/>
      </rPr>
      <t xml:space="preserve">, </t>
    </r>
    <r>
      <rPr>
        <sz val="18"/>
        <color rgb="FF9E9E9E"/>
        <rFont val="Menlo"/>
        <family val="2"/>
      </rPr>
      <t>vn_bookingNumber</t>
    </r>
    <r>
      <rPr>
        <sz val="18"/>
        <color rgb="FFAAAAAA"/>
        <rFont val="Menlo"/>
        <family val="2"/>
      </rPr>
      <t xml:space="preserve">, </t>
    </r>
    <r>
      <rPr>
        <sz val="18"/>
        <color rgb="FF9E9E9E"/>
        <rFont val="Menlo"/>
        <family val="2"/>
      </rPr>
      <t>p_checkIn</t>
    </r>
    <r>
      <rPr>
        <sz val="18"/>
        <color rgb="FFAAAAAA"/>
        <rFont val="Menlo"/>
        <family val="2"/>
      </rPr>
      <t xml:space="preserve">, </t>
    </r>
    <r>
      <rPr>
        <sz val="18"/>
        <color rgb="FF9E9E9E"/>
        <rFont val="Menlo"/>
        <family val="2"/>
      </rPr>
      <t>p_checkOut</t>
    </r>
    <r>
      <rPr>
        <sz val="18"/>
        <color rgb="FFAAAAAA"/>
        <rFont val="Menlo"/>
        <family val="2"/>
      </rPr>
      <t xml:space="preserve">, </t>
    </r>
    <r>
      <rPr>
        <sz val="18"/>
        <color rgb="FF9E9E9E"/>
        <rFont val="Menlo"/>
        <family val="2"/>
      </rPr>
      <t>vn_reservationDay</t>
    </r>
    <r>
      <rPr>
        <sz val="18"/>
        <color rgb="FFAAAAAA"/>
        <rFont val="Menlo"/>
        <family val="2"/>
      </rPr>
      <t xml:space="preserve">, </t>
    </r>
    <r>
      <rPr>
        <sz val="18"/>
        <color rgb="FF9E9E9E"/>
        <rFont val="Menlo"/>
        <family val="2"/>
      </rPr>
      <t>vn_priceTotal</t>
    </r>
    <r>
      <rPr>
        <sz val="18"/>
        <color rgb="FFAAAAAA"/>
        <rFont val="Menlo"/>
        <family val="2"/>
      </rPr>
      <t>)</t>
    </r>
    <r>
      <rPr>
        <sz val="18"/>
        <color rgb="FFEECC64"/>
        <rFont val="Menlo"/>
        <family val="2"/>
      </rPr>
      <t>;</t>
    </r>
  </si>
  <si>
    <r>
      <t>END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Insert_customer_proc</t>
    </r>
    <r>
      <rPr>
        <sz val="18"/>
        <color rgb="FFEECC64"/>
        <rFont val="Menlo"/>
        <family val="2"/>
      </rPr>
      <t>;</t>
    </r>
  </si>
  <si>
    <t xml:space="preserve">-- 입력된 회원정보를 가지고 예약된 리스트를 찾아서 리턴 </t>
  </si>
  <si>
    <r>
      <t>CREATE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OR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REPLACE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PROCEDURE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reservation_info_proc</t>
    </r>
    <r>
      <rPr>
        <sz val="18"/>
        <color rgb="FFAAAAAA"/>
        <rFont val="Menlo"/>
        <family val="2"/>
      </rPr>
      <t>(</t>
    </r>
  </si>
  <si>
    <r>
      <t>)</t>
    </r>
    <r>
      <rPr>
        <b/>
        <sz val="18"/>
        <color rgb="FF739ECA"/>
        <rFont val="Menlo"/>
        <family val="2"/>
      </rPr>
      <t>AS</t>
    </r>
  </si>
  <si>
    <t xml:space="preserve">-- 변수 선언 및 초기화 </t>
  </si>
  <si>
    <r>
      <t>vs_bookingNumber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NUMBER</t>
    </r>
    <r>
      <rPr>
        <sz val="18"/>
        <color rgb="FFAAAAAA"/>
        <rFont val="Menlo"/>
        <family val="2"/>
      </rPr>
      <t xml:space="preserve"> := </t>
    </r>
    <r>
      <rPr>
        <sz val="18"/>
        <color rgb="FFC0C0C0"/>
        <rFont val="Menlo"/>
        <family val="2"/>
      </rPr>
      <t>0</t>
    </r>
    <r>
      <rPr>
        <sz val="18"/>
        <color rgb="FFEECC64"/>
        <rFont val="Menlo"/>
        <family val="2"/>
      </rPr>
      <t>;</t>
    </r>
  </si>
  <si>
    <r>
      <t>vn_count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NUMBER</t>
    </r>
    <r>
      <rPr>
        <sz val="18"/>
        <color rgb="FFAAAAAA"/>
        <rFont val="Menlo"/>
        <family val="2"/>
      </rPr>
      <t xml:space="preserve"> := </t>
    </r>
    <r>
      <rPr>
        <sz val="18"/>
        <color rgb="FFC0C0C0"/>
        <rFont val="Menlo"/>
        <family val="2"/>
      </rPr>
      <t>0</t>
    </r>
    <r>
      <rPr>
        <sz val="18"/>
        <color rgb="FFEECC64"/>
        <rFont val="Menlo"/>
        <family val="2"/>
      </rPr>
      <t>;</t>
    </r>
  </si>
  <si>
    <r>
      <t>SELECT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lg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lodgingName</t>
    </r>
    <r>
      <rPr>
        <sz val="18"/>
        <color rgb="FFAAAAAA"/>
        <rFont val="Menlo"/>
        <family val="2"/>
      </rPr>
      <t xml:space="preserve">, </t>
    </r>
    <r>
      <rPr>
        <sz val="18"/>
        <color rgb="FF9E9E9E"/>
        <rFont val="Menlo"/>
        <family val="2"/>
      </rPr>
      <t>lg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lodgingTel</t>
    </r>
    <r>
      <rPr>
        <sz val="18"/>
        <color rgb="FFAAAAAA"/>
        <rFont val="Menlo"/>
        <family val="2"/>
      </rPr>
      <t xml:space="preserve">, </t>
    </r>
    <r>
      <rPr>
        <sz val="18"/>
        <color rgb="FF9E9E9E"/>
        <rFont val="Menlo"/>
        <family val="2"/>
      </rPr>
      <t>ri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lodgingAddr</t>
    </r>
    <r>
      <rPr>
        <sz val="18"/>
        <color rgb="FFAAAAAA"/>
        <rFont val="Menlo"/>
        <family val="2"/>
      </rPr>
      <t xml:space="preserve">, </t>
    </r>
    <r>
      <rPr>
        <sz val="18"/>
        <color rgb="FF9E9E9E"/>
        <rFont val="Menlo"/>
        <family val="2"/>
      </rPr>
      <t>bl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bookingNumber</t>
    </r>
    <r>
      <rPr>
        <sz val="18"/>
        <color rgb="FFAAAAAA"/>
        <rFont val="Menlo"/>
        <family val="2"/>
      </rPr>
      <t xml:space="preserve"> , </t>
    </r>
    <r>
      <rPr>
        <sz val="18"/>
        <color rgb="FF9E9E9E"/>
        <rFont val="Menlo"/>
        <family val="2"/>
      </rPr>
      <t>ri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roomName</t>
    </r>
    <r>
      <rPr>
        <sz val="18"/>
        <color rgb="FFAAAAAA"/>
        <rFont val="Menlo"/>
        <family val="2"/>
      </rPr>
      <t xml:space="preserve">, </t>
    </r>
    <r>
      <rPr>
        <sz val="18"/>
        <color rgb="FF9E9E9E"/>
        <rFont val="Menlo"/>
        <family val="2"/>
      </rPr>
      <t>bl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priceTotal</t>
    </r>
    <r>
      <rPr>
        <sz val="18"/>
        <color rgb="FFAAAAAA"/>
        <rFont val="Menlo"/>
        <family val="2"/>
      </rPr>
      <t xml:space="preserve">, </t>
    </r>
    <r>
      <rPr>
        <sz val="18"/>
        <color rgb="FF9E9E9E"/>
        <rFont val="Menlo"/>
        <family val="2"/>
      </rPr>
      <t>bl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reservationDay</t>
    </r>
    <r>
      <rPr>
        <sz val="18"/>
        <color rgb="FFAAAAAA"/>
        <rFont val="Menlo"/>
        <family val="2"/>
      </rPr>
      <t xml:space="preserve">, </t>
    </r>
    <r>
      <rPr>
        <sz val="18"/>
        <color rgb="FF9E9E9E"/>
        <rFont val="Menlo"/>
        <family val="2"/>
      </rPr>
      <t>bl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checkIn</t>
    </r>
    <r>
      <rPr>
        <sz val="18"/>
        <color rgb="FFAAAAAA"/>
        <rFont val="Menlo"/>
        <family val="2"/>
      </rPr>
      <t xml:space="preserve">, </t>
    </r>
    <r>
      <rPr>
        <sz val="18"/>
        <color rgb="FF9E9E9E"/>
        <rFont val="Menlo"/>
        <family val="2"/>
      </rPr>
      <t>bl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checkOut</t>
    </r>
  </si>
  <si>
    <r>
      <t>FROM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RoomInfo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ri</t>
    </r>
    <r>
      <rPr>
        <sz val="18"/>
        <color rgb="FFAAAAAA"/>
        <rFont val="Menlo"/>
        <family val="2"/>
      </rPr>
      <t xml:space="preserve">, </t>
    </r>
    <r>
      <rPr>
        <sz val="18"/>
        <color rgb="FF9E9E9E"/>
        <rFont val="Menlo"/>
        <family val="2"/>
      </rPr>
      <t>BookingList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bl</t>
    </r>
    <r>
      <rPr>
        <sz val="18"/>
        <color rgb="FFAAAAAA"/>
        <rFont val="Menlo"/>
        <family val="2"/>
      </rPr>
      <t xml:space="preserve">, </t>
    </r>
    <r>
      <rPr>
        <sz val="18"/>
        <color rgb="FF9E9E9E"/>
        <rFont val="Menlo"/>
        <family val="2"/>
      </rPr>
      <t>Lodging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lg</t>
    </r>
  </si>
  <si>
    <r>
      <t>WHERE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ri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roomNumber</t>
    </r>
    <r>
      <rPr>
        <sz val="18"/>
        <color rgb="FFAAAAAA"/>
        <rFont val="Menlo"/>
        <family val="2"/>
      </rPr>
      <t xml:space="preserve"> = </t>
    </r>
    <r>
      <rPr>
        <sz val="18"/>
        <color rgb="FF9E9E9E"/>
        <rFont val="Menlo"/>
        <family val="2"/>
      </rPr>
      <t>bl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roomNumber</t>
    </r>
  </si>
  <si>
    <r>
      <t>AND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lg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lodgingUniqueNumber</t>
    </r>
    <r>
      <rPr>
        <sz val="18"/>
        <color rgb="FFAAAAAA"/>
        <rFont val="Menlo"/>
        <family val="2"/>
      </rPr>
      <t xml:space="preserve"> = </t>
    </r>
    <r>
      <rPr>
        <sz val="18"/>
        <color rgb="FF9E9E9E"/>
        <rFont val="Menlo"/>
        <family val="2"/>
      </rPr>
      <t>ri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lodgingUniqueNumber</t>
    </r>
  </si>
  <si>
    <r>
      <t>AND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bl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bookingNumber</t>
    </r>
    <r>
      <rPr>
        <sz val="18"/>
        <color rgb="FFAAAAAA"/>
        <rFont val="Menlo"/>
        <family val="2"/>
      </rPr>
      <t xml:space="preserve"> = (</t>
    </r>
    <r>
      <rPr>
        <b/>
        <sz val="18"/>
        <color rgb="FF739ECA"/>
        <rFont val="Menlo"/>
        <family val="2"/>
      </rPr>
      <t>SELECT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bookingNumber</t>
    </r>
  </si>
  <si>
    <r>
      <t>FROM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Customer</t>
    </r>
  </si>
  <si>
    <r>
      <t>WHERE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customerName</t>
    </r>
    <r>
      <rPr>
        <sz val="18"/>
        <color rgb="FFAAAAAA"/>
        <rFont val="Menlo"/>
        <family val="2"/>
      </rPr>
      <t xml:space="preserve"> = </t>
    </r>
    <r>
      <rPr>
        <sz val="18"/>
        <color rgb="FF9E9E9E"/>
        <rFont val="Menlo"/>
        <family val="2"/>
      </rPr>
      <t>p_customerName</t>
    </r>
  </si>
  <si>
    <r>
      <t>AND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password</t>
    </r>
    <r>
      <rPr>
        <sz val="18"/>
        <color rgb="FFAAAAAA"/>
        <rFont val="Menlo"/>
        <family val="2"/>
      </rPr>
      <t xml:space="preserve"> = </t>
    </r>
    <r>
      <rPr>
        <sz val="18"/>
        <color rgb="FF9E9E9E"/>
        <rFont val="Menlo"/>
        <family val="2"/>
      </rPr>
      <t>p_password</t>
    </r>
  </si>
  <si>
    <r>
      <t>AND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customerPhone</t>
    </r>
    <r>
      <rPr>
        <sz val="18"/>
        <color rgb="FFAAAAAA"/>
        <rFont val="Menlo"/>
        <family val="2"/>
      </rPr>
      <t xml:space="preserve"> = </t>
    </r>
    <r>
      <rPr>
        <sz val="18"/>
        <color rgb="FF9E9E9E"/>
        <rFont val="Menlo"/>
        <family val="2"/>
      </rPr>
      <t>p_customerPhone</t>
    </r>
    <r>
      <rPr>
        <sz val="18"/>
        <color rgb="FFAAAAAA"/>
        <rFont val="Menlo"/>
        <family val="2"/>
      </rPr>
      <t>)</t>
    </r>
  </si>
  <si>
    <r>
      <t>ORDER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BY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bl</t>
    </r>
    <r>
      <rPr>
        <sz val="18"/>
        <color rgb="FFAAAAAA"/>
        <rFont val="Menlo"/>
        <family val="2"/>
      </rPr>
      <t>.</t>
    </r>
    <r>
      <rPr>
        <sz val="18"/>
        <color rgb="FF9E9E9E"/>
        <rFont val="Menlo"/>
        <family val="2"/>
      </rPr>
      <t>checkIn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ASC</t>
    </r>
    <r>
      <rPr>
        <sz val="18"/>
        <color rgb="FFEECC64"/>
        <rFont val="Menlo"/>
        <family val="2"/>
      </rPr>
      <t>;</t>
    </r>
  </si>
  <si>
    <r>
      <t>END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reservation_info_proc</t>
    </r>
    <r>
      <rPr>
        <sz val="18"/>
        <color rgb="FFEECC64"/>
        <rFont val="Menlo"/>
        <family val="2"/>
      </rPr>
      <t>;</t>
    </r>
  </si>
  <si>
    <t xml:space="preserve"> </t>
  </si>
  <si>
    <t>Room info Insert문 270</t>
    <phoneticPr fontId="1" type="noConversion"/>
  </si>
  <si>
    <t>INSERT INTO Lodging VALUES('103-22-123461','그랜드 워커 힐 서울 호텔','010-1111-1116');</t>
  </si>
  <si>
    <t>INSERT INTO Lodging VALUES('103-22-123468','씨마크 호텔','010-1111-1123');</t>
  </si>
  <si>
    <t>INSERT INTO Lodging VALUES('103-22-123471','마이다스 호텔&amp;리조트','010-1111-1126');</t>
  </si>
  <si>
    <t>INSERT INTO Lodging VALUES('103-22-123490','엉클킴스 캠핑장','010-1111-1145');</t>
  </si>
  <si>
    <t>INSERT INTO Lodging VALUES('103-22-123481','산방산애 펜션','010-1111-1136');</t>
  </si>
  <si>
    <t>INSERT INTO Lodging VALUES('103-22-123482','일해 펜션','010-1111-1137');</t>
  </si>
  <si>
    <t>INSERT INTO Lodging VALUES('103-22-123484','나르샤 펜션','010-1111-1139');</t>
  </si>
  <si>
    <t>INSERT INTO Lodging VALUES('103-22-123485','강릉와우파크 카라반','010-1111-1140');</t>
  </si>
  <si>
    <t>INSERT INTO Lodging VALUES('103-22-123487','한반도 솔숲쉼터','010-1111-1142');</t>
  </si>
  <si>
    <t>INSERT INTO Lodging VALUES('103-22-123457','그랜드 하얏트 서울','010-1111-1112');</t>
  </si>
  <si>
    <t>INSERT INTO Lodging VALUES('103-22-123458','몬드리안 서울 이태원','010-1111-1113');</t>
  </si>
  <si>
    <t>INSERT INTO Lodging VALUES('103-22-123460','에스케이프 호텔','010-1111-1115');</t>
  </si>
  <si>
    <t>INSERT INTO Lodging VALUES('103-22-123467','제주 신라 호텔','010-1111-1122');</t>
  </si>
  <si>
    <t>INSERT INTO Lodging VALUES('103-22-123472','코드야드 메리어트 호텔수원','010-1111-1127');</t>
  </si>
  <si>
    <t>INSERT INTO Lodging VALUES('103-22-123473','코드야드 메리어트 호텔판교','010-1111-1128');</t>
  </si>
  <si>
    <t>INSERT INTO Lodging VALUES('103-22-123470','스카이 베이 호텔경포','010-1111-1125');</t>
  </si>
  <si>
    <t>INSERT INTO Lodging VALUES('103-22-123474','그래비티 서울 판교 오토 그래프 컬렉션 호텔','010-1111-1129');</t>
  </si>
  <si>
    <t>INSERT INTO Lodging VALUES('103-22-123477','헤이 핀란드 펜션','010-1111-1132');</t>
  </si>
  <si>
    <t>INSERT INTO Lodging VALUES('103-22-123475','헤이 더 큐24 풀 빌라 펜션','010-1111-1130');</t>
  </si>
  <si>
    <t>INSERT INTO Lodging VALUES('103-22-123483','제주 달백 스테이 독체 펜션','010-1111-1138');</t>
  </si>
  <si>
    <t>INSERT INTO Lodging VALUES('103-22-123478','가평 기억의사원 펜션','010-1111-1133');</t>
  </si>
  <si>
    <t>INSERT INTO Lodging VALUES('103-22-123476','리버 웨이브 풀 빌라 펜션','010-1111-1131');</t>
  </si>
  <si>
    <t>INSERT INTO Lodging VALUES('103-22-123479','젠 하이드 어웨이 펜션','010-1111-1134');</t>
  </si>
  <si>
    <t>INSERT INTO Lodging VALUES('103-22-123480','라임 오렌지 빌 펜션','010-1111-1135');</t>
  </si>
  <si>
    <t>INSERT INTO Lodging VALUES('103-22-123486','애쉐르 하우스 펜션','010-1111-1141');</t>
  </si>
  <si>
    <t xml:space="preserve">  p_lodgingType VARCHAR2,</t>
  </si>
  <si>
    <t xml:space="preserve">  p_roomNumber RoomInfo.roomNumber%TYPE,</t>
  </si>
  <si>
    <t xml:space="preserve">  p_lodgingAddr VARCHAR2,</t>
  </si>
  <si>
    <t xml:space="preserve">  p_customerName VARCHAR2, </t>
  </si>
  <si>
    <t xml:space="preserve">  p_checkIn DATE,</t>
  </si>
  <si>
    <t xml:space="preserve">  p_customerPhone VARCHAR2, </t>
  </si>
  <si>
    <t xml:space="preserve">  p_checkOut DATE,</t>
  </si>
  <si>
    <t xml:space="preserve">  p_password VARCHAR2, </t>
  </si>
  <si>
    <t xml:space="preserve">  p_results OUT SYS_REFCURSOR</t>
  </si>
  <si>
    <t xml:space="preserve">  p_paymentInfo VARCHAR2, </t>
  </si>
  <si>
    <t xml:space="preserve">  p_checkIn DATE, </t>
  </si>
  <si>
    <t xml:space="preserve">  p_checkOut DATE)</t>
  </si>
  <si>
    <t xml:space="preserve">  OPEN p_results FOR</t>
  </si>
  <si>
    <t xml:space="preserve">    SELECT l.lodgingName, ri.* </t>
  </si>
  <si>
    <t xml:space="preserve">  -- 변수선언</t>
  </si>
  <si>
    <t xml:space="preserve">    FROM RoomInfo ri</t>
  </si>
  <si>
    <t xml:space="preserve">  vn_bookingNumber NUMBER;</t>
  </si>
  <si>
    <t xml:space="preserve">    JOIN Lodging l ON ri.lodgingUniqueNumber = l.lodgingUniqueNumber</t>
  </si>
  <si>
    <t xml:space="preserve">  vn_reservationDay NUMBER;</t>
  </si>
  <si>
    <t xml:space="preserve">    WHERE ri.lodgingType = p_lodgingType</t>
  </si>
  <si>
    <t xml:space="preserve">  vn_priceTotal NUMBER;</t>
  </si>
  <si>
    <t xml:space="preserve">     AND ri.lodgingAddr LIKE '%' || p_lodgingAddr || '%'</t>
  </si>
  <si>
    <t xml:space="preserve">  vn_oneDayPrice NUMBER;</t>
  </si>
  <si>
    <t xml:space="preserve">     AND NOT EXISTS (</t>
  </si>
  <si>
    <t xml:space="preserve">       SELECT 1</t>
  </si>
  <si>
    <t xml:space="preserve">  -- 예약을 받는 내용으로 매개변수를 받으면 먼저 customer 테이블에 데이터 입력 </t>
  </si>
  <si>
    <t xml:space="preserve">       FROM BookingList bl</t>
  </si>
  <si>
    <t xml:space="preserve">  INSERT INTO Customer VALUES(booking_auto_sq.NEXTVAL,p_customerName,p_customerPhone,p_password,p_paymentInfo,p_checkIn,p_checkOut);</t>
  </si>
  <si>
    <t xml:space="preserve">       WHERE bl.roomNumber = ri.roomNumber</t>
  </si>
  <si>
    <t xml:space="preserve">  -- 입력받은 방번호기준으로 1일치의 숙박료를 변수에 대입 </t>
  </si>
  <si>
    <t xml:space="preserve">        AND (p_checkIn BETWEEN bl.checkIN AND bl.checkOut</t>
  </si>
  <si>
    <t xml:space="preserve">  SELECT roomPrice INTO vn_oneDayPrice FROM RoomInfo WHERE roomNumber = p_roomNumber;</t>
  </si>
  <si>
    <t xml:space="preserve">           OR p_checkOut BETWEEN bl.checkIN AND bl.checkOut))</t>
  </si>
  <si>
    <t xml:space="preserve">  -- 체크인과 체크아웃 기간차를 둔 숙박일수 계산 후 대입 </t>
  </si>
  <si>
    <t xml:space="preserve">    ORDER BY roomNumber ASC;</t>
  </si>
  <si>
    <t xml:space="preserve">  vn_reservationDay := p_checkOut-p_checkIn;</t>
  </si>
  <si>
    <t xml:space="preserve">  -- 해당 방번호의 금액을 곱한 총 금액계산 후 대입 </t>
  </si>
  <si>
    <t xml:space="preserve">  vn_priceTotal := vn_reservationDay*vn_oneDayPrice;</t>
  </si>
  <si>
    <t xml:space="preserve">  -- 시퀀스로 생성된 bookingNumber 찾은 뒤 변수에 대입</t>
  </si>
  <si>
    <t xml:space="preserve">  SELECT bookingNumber INTO vn_bookingNumber FROM Customer WHERE customerName = p_customerName AND customerPhone = p_customerPhone;</t>
  </si>
  <si>
    <t xml:space="preserve">  -- BookingList 테이블에 데이터 삽입 </t>
  </si>
  <si>
    <t xml:space="preserve">  INSERT INTO BookingList VALUES (p_roomNumber, vn_bookingNumber, p_checkIn, p_checkOut, vn_reservationDay, vn_priceTotal);</t>
  </si>
  <si>
    <t>INSERT INTO Lodging VALUES('103-22-123456','그랜드 머큐어 앰버 서더 호텔앤레지던스 서울 용산','010-1111-1111');</t>
  </si>
  <si>
    <t>INSERT INTO Lodging VALUES('103-22-123459','스위스 그랜드 호텔서울','010-1111-1114');</t>
  </si>
  <si>
    <t>INSERT INTO Lodging VALUES('103-22-123462','롯데 호텔서울','010-1111-1117');</t>
  </si>
  <si>
    <t>INSERT INTO Lodging VALUES('103-22-123463','JW 메리어트 호텔서울','010-1111-1118');</t>
  </si>
  <si>
    <t>INSERT INTO Lodging VALUES('103-22-123464','시그니엘 호텔서울','010-1111-1119');</t>
  </si>
  <si>
    <t>INSERT INTO Lodging VALUES('103-22-123465','그랜드 하얏트 호텔제주','010-1111-1120');</t>
  </si>
  <si>
    <t>INSERT INTO Lodging VALUES('103-22-123466','롯데 호텔제주','010-1111-1121');</t>
  </si>
  <si>
    <t>INSERT INTO Lodging VALUES('103-22-123469','하슬라 뮤지엄 호텔','010-1111-1124');</t>
  </si>
  <si>
    <t>INSERT INTO Lodging VALUES('103-22-123488','감악산 캠핑장','010-1111-1143');</t>
  </si>
  <si>
    <t>INSERT INTO Lodging VALUES('103-22-123489','서귀포 캠파 제주 캠핑장','010-1111-1144');</t>
  </si>
  <si>
    <r>
      <t xml:space="preserve">-- </t>
    </r>
    <r>
      <rPr>
        <u/>
        <sz val="18"/>
        <color rgb="FF669768"/>
        <rFont val="Menlo"/>
        <family val="2"/>
      </rPr>
      <t>Lodging</t>
    </r>
    <r>
      <rPr>
        <sz val="18"/>
        <color rgb="FF669768"/>
        <rFont val="Menlo"/>
        <family val="2"/>
      </rPr>
      <t xml:space="preserve"> 테이블 생성</t>
    </r>
  </si>
  <si>
    <r>
      <t>CREATE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TABLE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Lodging</t>
    </r>
    <r>
      <rPr>
        <sz val="18"/>
        <color rgb="FFAAAAAA"/>
        <rFont val="Menlo"/>
        <family val="2"/>
      </rPr>
      <t>(</t>
    </r>
  </si>
  <si>
    <r>
      <t>lodgingUniqueNumber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VARCHAR2</t>
    </r>
    <r>
      <rPr>
        <sz val="18"/>
        <color rgb="FFAAAAAA"/>
        <rFont val="Menlo"/>
        <family val="2"/>
      </rPr>
      <t>(</t>
    </r>
    <r>
      <rPr>
        <sz val="18"/>
        <color rgb="FFC0C0C0"/>
        <rFont val="Menlo"/>
        <family val="2"/>
      </rPr>
      <t>100</t>
    </r>
    <r>
      <rPr>
        <sz val="18"/>
        <color rgb="FFAAAAAA"/>
        <rFont val="Menlo"/>
        <family val="2"/>
      </rPr>
      <t xml:space="preserve">) </t>
    </r>
    <r>
      <rPr>
        <b/>
        <sz val="18"/>
        <color rgb="FF739ECA"/>
        <rFont val="Menlo"/>
        <family val="2"/>
      </rPr>
      <t>PRIMARY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KEY</t>
    </r>
    <r>
      <rPr>
        <sz val="18"/>
        <color rgb="FFAAAAAA"/>
        <rFont val="Menlo"/>
        <family val="2"/>
      </rPr>
      <t>,</t>
    </r>
  </si>
  <si>
    <r>
      <t>lodgingName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VARCHAR2</t>
    </r>
    <r>
      <rPr>
        <sz val="18"/>
        <color rgb="FFAAAAAA"/>
        <rFont val="Menlo"/>
        <family val="2"/>
      </rPr>
      <t>(</t>
    </r>
    <r>
      <rPr>
        <sz val="18"/>
        <color rgb="FFC0C0C0"/>
        <rFont val="Menlo"/>
        <family val="2"/>
      </rPr>
      <t>100</t>
    </r>
    <r>
      <rPr>
        <sz val="18"/>
        <color rgb="FFAAAAAA"/>
        <rFont val="Menlo"/>
        <family val="2"/>
      </rPr>
      <t>),</t>
    </r>
  </si>
  <si>
    <r>
      <t>lodgingTel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VARCHAR2</t>
    </r>
    <r>
      <rPr>
        <sz val="18"/>
        <color rgb="FFAAAAAA"/>
        <rFont val="Menlo"/>
        <family val="2"/>
      </rPr>
      <t>(</t>
    </r>
    <r>
      <rPr>
        <sz val="18"/>
        <color rgb="FFC0C0C0"/>
        <rFont val="Menlo"/>
        <family val="2"/>
      </rPr>
      <t>16</t>
    </r>
    <r>
      <rPr>
        <sz val="18"/>
        <color rgb="FFAAAAAA"/>
        <rFont val="Menlo"/>
        <family val="2"/>
      </rPr>
      <t>)</t>
    </r>
  </si>
  <si>
    <r>
      <t>)</t>
    </r>
    <r>
      <rPr>
        <sz val="18"/>
        <color rgb="FFEECC64"/>
        <rFont val="Menlo"/>
        <family val="2"/>
      </rPr>
      <t>;</t>
    </r>
  </si>
  <si>
    <r>
      <t>CREATE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TABLE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RoomInfo</t>
    </r>
    <r>
      <rPr>
        <sz val="18"/>
        <color rgb="FFAAAAAA"/>
        <rFont val="Menlo"/>
        <family val="2"/>
      </rPr>
      <t xml:space="preserve"> (</t>
    </r>
  </si>
  <si>
    <r>
      <t>roomNumber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NUMBER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PRIMARY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KEY</t>
    </r>
    <r>
      <rPr>
        <sz val="18"/>
        <color rgb="FFAAAAAA"/>
        <rFont val="Menlo"/>
        <family val="2"/>
      </rPr>
      <t>,</t>
    </r>
  </si>
  <si>
    <r>
      <t>lodgingUniqueNumber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VARCHAR2</t>
    </r>
    <r>
      <rPr>
        <sz val="18"/>
        <color rgb="FFAAAAAA"/>
        <rFont val="Menlo"/>
        <family val="2"/>
      </rPr>
      <t>(</t>
    </r>
    <r>
      <rPr>
        <sz val="18"/>
        <color rgb="FFC0C0C0"/>
        <rFont val="Menlo"/>
        <family val="2"/>
      </rPr>
      <t>30</t>
    </r>
    <r>
      <rPr>
        <sz val="18"/>
        <color rgb="FFAAAAAA"/>
        <rFont val="Menlo"/>
        <family val="2"/>
      </rPr>
      <t>),</t>
    </r>
  </si>
  <si>
    <r>
      <t>roomName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VARCHAR2</t>
    </r>
    <r>
      <rPr>
        <sz val="18"/>
        <color rgb="FFAAAAAA"/>
        <rFont val="Menlo"/>
        <family val="2"/>
      </rPr>
      <t>(</t>
    </r>
    <r>
      <rPr>
        <sz val="18"/>
        <color rgb="FFC0C0C0"/>
        <rFont val="Menlo"/>
        <family val="2"/>
      </rPr>
      <t>100</t>
    </r>
    <r>
      <rPr>
        <sz val="18"/>
        <color rgb="FFAAAAAA"/>
        <rFont val="Menlo"/>
        <family val="2"/>
      </rPr>
      <t>),</t>
    </r>
  </si>
  <si>
    <r>
      <t>roomPrice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NUMBER</t>
    </r>
    <r>
      <rPr>
        <sz val="18"/>
        <color rgb="FFAAAAAA"/>
        <rFont val="Menlo"/>
        <family val="2"/>
      </rPr>
      <t>(</t>
    </r>
    <r>
      <rPr>
        <sz val="18"/>
        <color rgb="FFC0C0C0"/>
        <rFont val="Menlo"/>
        <family val="2"/>
      </rPr>
      <t>10</t>
    </r>
    <r>
      <rPr>
        <sz val="18"/>
        <color rgb="FFAAAAAA"/>
        <rFont val="Menlo"/>
        <family val="2"/>
      </rPr>
      <t>),</t>
    </r>
  </si>
  <si>
    <r>
      <t>lodgingType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VARCHAR2</t>
    </r>
    <r>
      <rPr>
        <sz val="18"/>
        <color rgb="FFAAAAAA"/>
        <rFont val="Menlo"/>
        <family val="2"/>
      </rPr>
      <t>(</t>
    </r>
    <r>
      <rPr>
        <sz val="18"/>
        <color rgb="FFC0C0C0"/>
        <rFont val="Menlo"/>
        <family val="2"/>
      </rPr>
      <t>10</t>
    </r>
    <r>
      <rPr>
        <sz val="18"/>
        <color rgb="FFAAAAAA"/>
        <rFont val="Menlo"/>
        <family val="2"/>
      </rPr>
      <t xml:space="preserve">) </t>
    </r>
    <r>
      <rPr>
        <b/>
        <sz val="18"/>
        <color rgb="FF739ECA"/>
        <rFont val="Menlo"/>
        <family val="2"/>
      </rPr>
      <t>CHECK</t>
    </r>
    <r>
      <rPr>
        <sz val="18"/>
        <color rgb="FFAAAAAA"/>
        <rFont val="Menlo"/>
        <family val="2"/>
      </rPr>
      <t xml:space="preserve"> (</t>
    </r>
    <r>
      <rPr>
        <sz val="18"/>
        <color rgb="FF9E9E9E"/>
        <rFont val="Menlo"/>
        <family val="2"/>
      </rPr>
      <t>lodgingType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IN</t>
    </r>
    <r>
      <rPr>
        <sz val="18"/>
        <color rgb="FFAAAAAA"/>
        <rFont val="Menlo"/>
        <family val="2"/>
      </rPr>
      <t xml:space="preserve"> (</t>
    </r>
    <r>
      <rPr>
        <sz val="18"/>
        <color rgb="FFCAC580"/>
        <rFont val="Menlo"/>
        <family val="2"/>
      </rPr>
      <t>'호텔'</t>
    </r>
    <r>
      <rPr>
        <sz val="18"/>
        <color rgb="FFAAAAAA"/>
        <rFont val="Menlo"/>
        <family val="2"/>
      </rPr>
      <t>,</t>
    </r>
    <r>
      <rPr>
        <sz val="18"/>
        <color rgb="FFCAC580"/>
        <rFont val="Menlo"/>
        <family val="2"/>
      </rPr>
      <t>'펜션'</t>
    </r>
    <r>
      <rPr>
        <sz val="18"/>
        <color rgb="FFAAAAAA"/>
        <rFont val="Menlo"/>
        <family val="2"/>
      </rPr>
      <t>,</t>
    </r>
    <r>
      <rPr>
        <sz val="18"/>
        <color rgb="FFCAC580"/>
        <rFont val="Menlo"/>
        <family val="2"/>
      </rPr>
      <t>'캠핑'</t>
    </r>
    <r>
      <rPr>
        <sz val="18"/>
        <color rgb="FFAAAAAA"/>
        <rFont val="Menlo"/>
        <family val="2"/>
      </rPr>
      <t>)),</t>
    </r>
  </si>
  <si>
    <r>
      <t>lodgingAddr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VARCHAR2</t>
    </r>
    <r>
      <rPr>
        <sz val="18"/>
        <color rgb="FFAAAAAA"/>
        <rFont val="Menlo"/>
        <family val="2"/>
      </rPr>
      <t>(</t>
    </r>
    <r>
      <rPr>
        <sz val="18"/>
        <color rgb="FFC0C0C0"/>
        <rFont val="Menlo"/>
        <family val="2"/>
      </rPr>
      <t>200</t>
    </r>
    <r>
      <rPr>
        <sz val="18"/>
        <color rgb="FFAAAAAA"/>
        <rFont val="Menlo"/>
        <family val="2"/>
      </rPr>
      <t>),</t>
    </r>
  </si>
  <si>
    <r>
      <t>FOREIGN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KEY</t>
    </r>
    <r>
      <rPr>
        <sz val="18"/>
        <color rgb="FFAAAAAA"/>
        <rFont val="Menlo"/>
        <family val="2"/>
      </rPr>
      <t xml:space="preserve"> (</t>
    </r>
    <r>
      <rPr>
        <sz val="18"/>
        <color rgb="FF9E9E9E"/>
        <rFont val="Menlo"/>
        <family val="2"/>
      </rPr>
      <t>lodgingUniqueNumber</t>
    </r>
    <r>
      <rPr>
        <sz val="18"/>
        <color rgb="FFAAAAAA"/>
        <rFont val="Menlo"/>
        <family val="2"/>
      </rPr>
      <t xml:space="preserve">) </t>
    </r>
    <r>
      <rPr>
        <b/>
        <sz val="18"/>
        <color rgb="FF739ECA"/>
        <rFont val="Menlo"/>
        <family val="2"/>
      </rPr>
      <t>REFERENCES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Lodging</t>
    </r>
    <r>
      <rPr>
        <sz val="18"/>
        <color rgb="FFAAAAAA"/>
        <rFont val="Menlo"/>
        <family val="2"/>
      </rPr>
      <t>(</t>
    </r>
    <r>
      <rPr>
        <sz val="18"/>
        <color rgb="FF9E9E9E"/>
        <rFont val="Menlo"/>
        <family val="2"/>
      </rPr>
      <t>lodgingUniqueNumber</t>
    </r>
    <r>
      <rPr>
        <sz val="18"/>
        <color rgb="FFAAAAAA"/>
        <rFont val="Menlo"/>
        <family val="2"/>
      </rPr>
      <t>)</t>
    </r>
  </si>
  <si>
    <r>
      <t>CREATE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TABLE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Customer</t>
    </r>
    <r>
      <rPr>
        <sz val="18"/>
        <color rgb="FFAAAAAA"/>
        <rFont val="Menlo"/>
        <family val="2"/>
      </rPr>
      <t xml:space="preserve"> (</t>
    </r>
  </si>
  <si>
    <r>
      <t>bookingNumber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NUMBER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PRIMARY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KEY</t>
    </r>
    <r>
      <rPr>
        <sz val="18"/>
        <color rgb="FFAAAAAA"/>
        <rFont val="Menlo"/>
        <family val="2"/>
      </rPr>
      <t>,</t>
    </r>
  </si>
  <si>
    <r>
      <t>customerName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VARCHAR2</t>
    </r>
    <r>
      <rPr>
        <sz val="18"/>
        <color rgb="FFAAAAAA"/>
        <rFont val="Menlo"/>
        <family val="2"/>
      </rPr>
      <t>(</t>
    </r>
    <r>
      <rPr>
        <sz val="18"/>
        <color rgb="FFC0C0C0"/>
        <rFont val="Menlo"/>
        <family val="2"/>
      </rPr>
      <t>100</t>
    </r>
    <r>
      <rPr>
        <sz val="18"/>
        <color rgb="FFAAAAAA"/>
        <rFont val="Menlo"/>
        <family val="2"/>
      </rPr>
      <t>),</t>
    </r>
  </si>
  <si>
    <r>
      <t>customerPhone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VARCHAR2</t>
    </r>
    <r>
      <rPr>
        <sz val="18"/>
        <color rgb="FFAAAAAA"/>
        <rFont val="Menlo"/>
        <family val="2"/>
      </rPr>
      <t>(</t>
    </r>
    <r>
      <rPr>
        <sz val="18"/>
        <color rgb="FFC0C0C0"/>
        <rFont val="Menlo"/>
        <family val="2"/>
      </rPr>
      <t>15</t>
    </r>
    <r>
      <rPr>
        <sz val="18"/>
        <color rgb="FFAAAAAA"/>
        <rFont val="Menlo"/>
        <family val="2"/>
      </rPr>
      <t>),</t>
    </r>
  </si>
  <si>
    <r>
      <t>password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VARCHAR2</t>
    </r>
    <r>
      <rPr>
        <sz val="18"/>
        <color rgb="FFAAAAAA"/>
        <rFont val="Menlo"/>
        <family val="2"/>
      </rPr>
      <t>(</t>
    </r>
    <r>
      <rPr>
        <sz val="18"/>
        <color rgb="FFC0C0C0"/>
        <rFont val="Menlo"/>
        <family val="2"/>
      </rPr>
      <t>20</t>
    </r>
    <r>
      <rPr>
        <sz val="18"/>
        <color rgb="FFAAAAAA"/>
        <rFont val="Menlo"/>
        <family val="2"/>
      </rPr>
      <t>),</t>
    </r>
  </si>
  <si>
    <r>
      <t>paymentInfo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VARCHAR2</t>
    </r>
    <r>
      <rPr>
        <sz val="18"/>
        <color rgb="FFAAAAAA"/>
        <rFont val="Menlo"/>
        <family val="2"/>
      </rPr>
      <t>(</t>
    </r>
    <r>
      <rPr>
        <sz val="18"/>
        <color rgb="FFC0C0C0"/>
        <rFont val="Menlo"/>
        <family val="2"/>
      </rPr>
      <t>20</t>
    </r>
    <r>
      <rPr>
        <sz val="18"/>
        <color rgb="FFAAAAAA"/>
        <rFont val="Menlo"/>
        <family val="2"/>
      </rPr>
      <t xml:space="preserve">) </t>
    </r>
    <r>
      <rPr>
        <b/>
        <sz val="18"/>
        <color rgb="FF739ECA"/>
        <rFont val="Menlo"/>
        <family val="2"/>
      </rPr>
      <t>CHECK</t>
    </r>
    <r>
      <rPr>
        <sz val="18"/>
        <color rgb="FFAAAAAA"/>
        <rFont val="Menlo"/>
        <family val="2"/>
      </rPr>
      <t xml:space="preserve"> (</t>
    </r>
    <r>
      <rPr>
        <sz val="18"/>
        <color rgb="FF9E9E9E"/>
        <rFont val="Menlo"/>
        <family val="2"/>
      </rPr>
      <t>paymentInfo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IN</t>
    </r>
    <r>
      <rPr>
        <sz val="18"/>
        <color rgb="FFAAAAAA"/>
        <rFont val="Menlo"/>
        <family val="2"/>
      </rPr>
      <t xml:space="preserve"> (</t>
    </r>
    <r>
      <rPr>
        <sz val="18"/>
        <color rgb="FFCAC580"/>
        <rFont val="Menlo"/>
        <family val="2"/>
      </rPr>
      <t>'카드'</t>
    </r>
    <r>
      <rPr>
        <sz val="18"/>
        <color rgb="FFAAAAAA"/>
        <rFont val="Menlo"/>
        <family val="2"/>
      </rPr>
      <t>,</t>
    </r>
    <r>
      <rPr>
        <sz val="18"/>
        <color rgb="FFCAC580"/>
        <rFont val="Menlo"/>
        <family val="2"/>
      </rPr>
      <t>'모바일페이'</t>
    </r>
    <r>
      <rPr>
        <sz val="18"/>
        <color rgb="FFAAAAAA"/>
        <rFont val="Menlo"/>
        <family val="2"/>
      </rPr>
      <t>,</t>
    </r>
    <r>
      <rPr>
        <sz val="18"/>
        <color rgb="FFCAC580"/>
        <rFont val="Menlo"/>
        <family val="2"/>
      </rPr>
      <t>'무통장입금'</t>
    </r>
    <r>
      <rPr>
        <sz val="18"/>
        <color rgb="FFAAAAAA"/>
        <rFont val="Menlo"/>
        <family val="2"/>
      </rPr>
      <t>)),</t>
    </r>
  </si>
  <si>
    <r>
      <t>checkIn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DATE</t>
    </r>
    <r>
      <rPr>
        <sz val="18"/>
        <color rgb="FFAAAAAA"/>
        <rFont val="Menlo"/>
        <family val="2"/>
      </rPr>
      <t>,</t>
    </r>
  </si>
  <si>
    <r>
      <t>checkOut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DATE</t>
    </r>
  </si>
  <si>
    <t>-- Booking 테이블 생성</t>
  </si>
  <si>
    <r>
      <t>CREATE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TABLE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BookingList</t>
    </r>
    <r>
      <rPr>
        <sz val="18"/>
        <color rgb="FFAAAAAA"/>
        <rFont val="Menlo"/>
        <family val="2"/>
      </rPr>
      <t>(</t>
    </r>
  </si>
  <si>
    <r>
      <t>roomNumber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NUMBER</t>
    </r>
    <r>
      <rPr>
        <sz val="18"/>
        <color rgb="FFAAAAAA"/>
        <rFont val="Menlo"/>
        <family val="2"/>
      </rPr>
      <t>,</t>
    </r>
  </si>
  <si>
    <r>
      <t>bookingNumber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NUMBER</t>
    </r>
    <r>
      <rPr>
        <sz val="18"/>
        <color rgb="FFAAAAAA"/>
        <rFont val="Menlo"/>
        <family val="2"/>
      </rPr>
      <t>,</t>
    </r>
  </si>
  <si>
    <r>
      <t>checkIN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DATE</t>
    </r>
    <r>
      <rPr>
        <sz val="18"/>
        <color rgb="FFAAAAAA"/>
        <rFont val="Menlo"/>
        <family val="2"/>
      </rPr>
      <t>,</t>
    </r>
  </si>
  <si>
    <r>
      <t>checkOut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DATE</t>
    </r>
    <r>
      <rPr>
        <sz val="18"/>
        <color rgb="FFAAAAAA"/>
        <rFont val="Menlo"/>
        <family val="2"/>
      </rPr>
      <t>,</t>
    </r>
  </si>
  <si>
    <r>
      <t>reservationDay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NUMBER</t>
    </r>
    <r>
      <rPr>
        <sz val="18"/>
        <color rgb="FFAAAAAA"/>
        <rFont val="Menlo"/>
        <family val="2"/>
      </rPr>
      <t>,</t>
    </r>
  </si>
  <si>
    <r>
      <t>priceTotal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C1AA6C"/>
        <rFont val="Menlo"/>
        <family val="2"/>
      </rPr>
      <t>NUMBER</t>
    </r>
    <r>
      <rPr>
        <sz val="18"/>
        <color rgb="FFAAAAAA"/>
        <rFont val="Menlo"/>
        <family val="2"/>
      </rPr>
      <t>(</t>
    </r>
    <r>
      <rPr>
        <sz val="18"/>
        <color rgb="FFC0C0C0"/>
        <rFont val="Menlo"/>
        <family val="2"/>
      </rPr>
      <t>10</t>
    </r>
    <r>
      <rPr>
        <sz val="18"/>
        <color rgb="FFAAAAAA"/>
        <rFont val="Menlo"/>
        <family val="2"/>
      </rPr>
      <t>),</t>
    </r>
  </si>
  <si>
    <r>
      <t>FOREIGN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KEY</t>
    </r>
    <r>
      <rPr>
        <sz val="18"/>
        <color rgb="FFAAAAAA"/>
        <rFont val="Menlo"/>
        <family val="2"/>
      </rPr>
      <t xml:space="preserve"> (</t>
    </r>
    <r>
      <rPr>
        <sz val="18"/>
        <color rgb="FF9E9E9E"/>
        <rFont val="Menlo"/>
        <family val="2"/>
      </rPr>
      <t>roomNumber</t>
    </r>
    <r>
      <rPr>
        <sz val="18"/>
        <color rgb="FFAAAAAA"/>
        <rFont val="Menlo"/>
        <family val="2"/>
      </rPr>
      <t xml:space="preserve">) </t>
    </r>
    <r>
      <rPr>
        <b/>
        <sz val="18"/>
        <color rgb="FF739ECA"/>
        <rFont val="Menlo"/>
        <family val="2"/>
      </rPr>
      <t>REFERENCES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RoomInfo</t>
    </r>
    <r>
      <rPr>
        <sz val="18"/>
        <color rgb="FFAAAAAA"/>
        <rFont val="Menlo"/>
        <family val="2"/>
      </rPr>
      <t>(</t>
    </r>
    <r>
      <rPr>
        <sz val="18"/>
        <color rgb="FF9E9E9E"/>
        <rFont val="Menlo"/>
        <family val="2"/>
      </rPr>
      <t>roomNumber</t>
    </r>
    <r>
      <rPr>
        <sz val="18"/>
        <color rgb="FFAAAAAA"/>
        <rFont val="Menlo"/>
        <family val="2"/>
      </rPr>
      <t>),</t>
    </r>
  </si>
  <si>
    <r>
      <t>FOREIGN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KEY</t>
    </r>
    <r>
      <rPr>
        <sz val="18"/>
        <color rgb="FFAAAAAA"/>
        <rFont val="Menlo"/>
        <family val="2"/>
      </rPr>
      <t xml:space="preserve"> (</t>
    </r>
    <r>
      <rPr>
        <sz val="18"/>
        <color rgb="FF9E9E9E"/>
        <rFont val="Menlo"/>
        <family val="2"/>
      </rPr>
      <t>bookingNumber</t>
    </r>
    <r>
      <rPr>
        <sz val="18"/>
        <color rgb="FFAAAAAA"/>
        <rFont val="Menlo"/>
        <family val="2"/>
      </rPr>
      <t xml:space="preserve">) </t>
    </r>
    <r>
      <rPr>
        <b/>
        <sz val="18"/>
        <color rgb="FF739ECA"/>
        <rFont val="Menlo"/>
        <family val="2"/>
      </rPr>
      <t>REFERENCES</t>
    </r>
    <r>
      <rPr>
        <sz val="18"/>
        <color rgb="FFAAAAAA"/>
        <rFont val="Menlo"/>
        <family val="2"/>
      </rPr>
      <t xml:space="preserve"> </t>
    </r>
    <r>
      <rPr>
        <sz val="18"/>
        <color rgb="FF9E9E9E"/>
        <rFont val="Menlo"/>
        <family val="2"/>
      </rPr>
      <t>Customer</t>
    </r>
    <r>
      <rPr>
        <sz val="18"/>
        <color rgb="FFAAAAAA"/>
        <rFont val="Menlo"/>
        <family val="2"/>
      </rPr>
      <t>(</t>
    </r>
    <r>
      <rPr>
        <sz val="18"/>
        <color rgb="FF9E9E9E"/>
        <rFont val="Menlo"/>
        <family val="2"/>
      </rPr>
      <t>bookingNumber</t>
    </r>
    <r>
      <rPr>
        <sz val="18"/>
        <color rgb="FFAAAAAA"/>
        <rFont val="Menlo"/>
        <family val="2"/>
      </rPr>
      <t xml:space="preserve">) </t>
    </r>
    <r>
      <rPr>
        <b/>
        <sz val="18"/>
        <color rgb="FF739ECA"/>
        <rFont val="Menlo"/>
        <family val="2"/>
      </rPr>
      <t>ON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DELETE</t>
    </r>
    <r>
      <rPr>
        <sz val="18"/>
        <color rgb="FFAAAAAA"/>
        <rFont val="Menlo"/>
        <family val="2"/>
      </rPr>
      <t xml:space="preserve"> </t>
    </r>
    <r>
      <rPr>
        <b/>
        <sz val="18"/>
        <color rgb="FF739ECA"/>
        <rFont val="Menlo"/>
        <family val="2"/>
      </rPr>
      <t>CASCADE</t>
    </r>
  </si>
  <si>
    <t>INSERT INTO RoomInfo VALUES(roomPK_auto_sq.NEXTVAL,'103-22-123456','주니어 스위트룸',319000,'호텔','서울 용산구 청파로20길 95 서울드래곤시티');</t>
  </si>
  <si>
    <t>INSERT INTO RoomInfo VALUES(roomPK_auto_sq.NEXTVAL,'103-22-123456','디럭스 스위트',571500,'호텔','서울 용산구 청파로20길 95 서울드래곤시티');</t>
  </si>
  <si>
    <t>INSERT INTO RoomInfo VALUES(roomPK_auto_sq.NEXTVAL,'103-22-123457','트윈베드',511000,'호텔','서울 용산구 소월로 322');</t>
  </si>
  <si>
    <t>INSERT INTO RoomInfo VALUES(roomPK_auto_sq.NEXTVAL,'103-22-123457','그랜드 이그제큐티브 스위트룸',900000,'호텔','서울 용산구 소월로 322');</t>
  </si>
  <si>
    <t>INSERT INTO RoomInfo VALUES(roomPK_auto_sq.NEXTVAL,'103-22-123457','트윈 베드 리버 뷰',550000,'호텔','서울 용산구 소월로 322');</t>
  </si>
  <si>
    <t>INSERT INTO RoomInfo VALUES(roomPK_auto_sq.NEXTVAL,'103-22-123457','킹 마운틴 뷰',600000,'호텔','서울 용산구 소월로 322');</t>
  </si>
  <si>
    <t>INSERT INTO RoomInfo VALUES(roomPK_auto_sq.NEXTVAL,'103-22-123458','카바나 스위트',1100000,'호텔','서울특별시 용산구 장문로 23');</t>
  </si>
  <si>
    <t>INSERT INTO RoomInfo VALUES(roomPK_auto_sq.NEXTVAL,'103-22-123458','이태원 킹',250000,'호텔','서울특별시 용산구 장문로 23');</t>
  </si>
  <si>
    <t>INSERT INTO RoomInfo VALUES(roomPK_auto_sq.NEXTVAL,'103-22-123458','이태원 트윈',250000,'호텔','서울특별시 용산구 장문로 23');</t>
  </si>
  <si>
    <t>INSERT INTO RoomInfo VALUES(roomPK_auto_sq.NEXTVAL,'103-22-123458','피나클 스위트룸',800000,'호텔','서울특별시 용산구 장문로 23');</t>
  </si>
  <si>
    <t>INSERT INTO RoomInfo VALUES(roomPK_auto_sq.NEXTVAL,'103-22-123458','피나클 킹',650000,'호텔','서울특별시 용산구 장문로 23');</t>
  </si>
  <si>
    <t>INSERT INTO RoomInfo VALUES(roomPK_auto_sq.NEXTVAL,'103-22-123459','디럭스룸',200000,'호텔','서울특별시 서대문구 연희로 353');</t>
  </si>
  <si>
    <t>INSERT INTO RoomInfo VALUES(roomPK_auto_sq.NEXTVAL,'103-22-123459','디럭스 트윈룸',200000,'호텔','서울특별시 서대문구 연희로 353');</t>
  </si>
  <si>
    <t>INSERT INTO RoomInfo VALUES(roomPK_auto_sq.NEXTVAL,'103-22-123459','이그제큐티브 킹룸',250000,'호텔','서울특별시 서대문구 연희로 353');</t>
  </si>
  <si>
    <t>INSERT INTO RoomInfo VALUES(roomPK_auto_sq.NEXTVAL,'103-22-123459','이그제큐티브 스위트',600000,'호텔','서울특별시 서대문구 연희로 353');</t>
  </si>
  <si>
    <t>INSERT INTO RoomInfo VALUES(roomPK_auto_sq.NEXTVAL,'103-22-123460','클래식 디럭스 킹룸',220000,'호텔','서울 중구 퇴계로 67');</t>
  </si>
  <si>
    <t>INSERT INTO RoomInfo VALUES(roomPK_auto_sq.NEXTVAL,'103-22-123460','시크릿 디럭스 트윈룸',250000,'호텔','서울 중구 퇴계로 67');</t>
  </si>
  <si>
    <t>INSERT INTO RoomInfo VALUES(roomPK_auto_sq.NEXTVAL,'103-22-123460','시크릿 디럭스 킹룸',250000,'호텔','서울 중구 퇴계로 67');</t>
  </si>
  <si>
    <t>INSERT INTO RoomInfo VALUES(roomPK_auto_sq.NEXTVAL,'103-22-123460','아틀리에 디럭스 트윈룸',280000,'호텔','서울 중구 퇴계로 67');</t>
  </si>
  <si>
    <t>INSERT INTO RoomInfo VALUES(roomPK_auto_sq.NEXTVAL,'103-22-123460','아틀리에 킹 스위트',350000,'호텔','서울 중구 퇴계로 67');</t>
  </si>
  <si>
    <t>INSERT INTO RoomInfo VALUES(roomPK_auto_sq.NEXTVAL,'103-22-123460','코너 트윈 스위트룸',500000,'호텔','서울 중구 퇴계로 67');</t>
  </si>
  <si>
    <t>INSERT INTO RoomInfo VALUES(roomPK_auto_sq.NEXTVAL,'103-22-123461','스탠다드 트윈',170000,'호텔','서울 광진구 워커힐로 177');</t>
  </si>
  <si>
    <t>INSERT INTO RoomInfo VALUES(roomPK_auto_sq.NEXTVAL,'103-22-123461','디럭스 더블룸',180000,'호텔','서울 광진구 워커힐로 177');</t>
  </si>
  <si>
    <t>INSERT INTO RoomInfo VALUES(roomPK_auto_sq.NEXTVAL,'103-22-123461','패밀리 디럭스 스위트',350000,'호텔','서울 광진구 워커힐로 177');</t>
  </si>
  <si>
    <t>INSERT INTO RoomInfo VALUES(roomPK_auto_sq.NEXTVAL,'103-22-123461','클럽 스위트 트윈',450000,'호텔','서울 광진구 워커힐로 177');</t>
  </si>
  <si>
    <t>INSERT INTO RoomInfo VALUES(roomPK_auto_sq.NEXTVAL,'103-22-123475','더큐 노 스파',208301,'펜션','경기도 가평군 설악면 묵안안길 56-33');</t>
  </si>
  <si>
    <t>INSERT INTO RoomInfo VALUES(roomPK_auto_sq.NEXTVAL,'103-22-123475','더큐 에프 스파',120000,'펜션','경기도 가평군 설악면 묵안안길 56-33');</t>
  </si>
  <si>
    <t>INSERT INTO RoomInfo VALUES(roomPK_auto_sq.NEXTVAL,'103-22-123475','더큐 풀빌라 스파',172731,'펜션','경기도 가평군 설악면 묵안안길 56-33');</t>
  </si>
  <si>
    <t>INSERT INTO RoomInfo VALUES(roomPK_auto_sq.NEXTVAL,'103-22-123475','더큐 씨스파 앤 풀빌라',195620,'펜션','경기도 가평군 설악면 묵안안길 56-33');</t>
  </si>
  <si>
    <t>INSERT INTO RoomInfo VALUES(roomPK_auto_sq.NEXTVAL,'103-22-123475','더큐 비스파 앤 풀빌라',328974,'펜션','경기도 가평군 설악면 묵안안길 56-33');</t>
  </si>
  <si>
    <t>INSERT INTO RoomInfo VALUES(roomPK_auto_sq.NEXTVAL,'103-22-123475','더큐 에이스파 앤 풀빌라',195620,'펜션','경기도 가평군 설악면 묵안안길 56-33');</t>
  </si>
  <si>
    <t>INSERT INTO RoomInfo VALUES(roomPK_auto_sq.NEXTVAL,'103-22-123477','A6',239779,'펜션','경기도 가평군 청평면 북한강로 2141-2 ');</t>
  </si>
  <si>
    <t>INSERT INTO RoomInfo VALUES(roomPK_auto_sq.NEXTVAL,'103-22-123477','A5',239669,'펜션','경기도 가평군 청평면 북한강로 2141-2 ');</t>
  </si>
  <si>
    <t>INSERT INTO RoomInfo VALUES(roomPK_auto_sq.NEXTVAL,'103-22-123477','B2',239669,'펜션','경기도 가평군 청평면 북한강로 2141-2 ');</t>
  </si>
  <si>
    <t>INSERT INTO RoomInfo VALUES(roomPK_auto_sq.NEXTVAL,'103-22-123477','B4',240000,'펜션','경기도 가평군 청평면 북한강로 2141-2 ');</t>
  </si>
  <si>
    <t>INSERT INTO RoomInfo VALUES(roomPK_auto_sq.NEXTVAL,'103-22-123477','B1',239212,'펜션','경기도 가평군 청평면 북한강로 2141-2 ');</t>
  </si>
  <si>
    <t>INSERT INTO RoomInfo VALUES(roomPK_auto_sq.NEXTVAL,'103-22-123477','B5',270000,'펜션','경기도 가평군 청평면 북한강로 2141-2 ');</t>
  </si>
  <si>
    <t>INSERT INTO RoomInfo VALUES(roomPK_auto_sq.NEXTVAL,'103-22-123478','103-베이지',151023,'펜션','경기도 가평군 조종면 운악청계로490번길 29-27');</t>
  </si>
  <si>
    <t>INSERT INTO RoomInfo VALUES(roomPK_auto_sq.NEXTVAL,'103-22-123478','104-베이지',132543,'펜션','경기도 가평군 조종면 운악청계로490번길 29-27');</t>
  </si>
  <si>
    <t>INSERT INTO RoomInfo VALUES(roomPK_auto_sq.NEXTVAL,'103-22-123478','102-브라운',200000,'펜션','경기도 가평군 조종면 운악청계로490번길 29-27');</t>
  </si>
  <si>
    <t>INSERT INTO RoomInfo VALUES(roomPK_auto_sq.NEXTVAL,'103-22-123478','109-그린',130529,'펜션','경기도 가평군 조종면 운악청계로490번길 29-27');</t>
  </si>
  <si>
    <t>INSERT INTO RoomInfo VALUES(roomPK_auto_sq.NEXTVAL,'103-22-123478','108-그린',130529,'펜션','경기도 가평군 조종면 운악청계로490번길 29-27');</t>
  </si>
  <si>
    <t>INSERT INTO RoomInfo VALUES(roomPK_auto_sq.NEXTVAL,'103-22-123478','105-베이지',132543,'펜션','경기도 가평군 조종면 운악청계로490번길 29-27');</t>
  </si>
  <si>
    <t>INSERT INTO RoomInfo VALUES(roomPK_auto_sq.NEXTVAL,'103-22-123478','106-베이지',132543,'펜션','경기도 가평군 조종면 운악청계로490번길 29-27');</t>
  </si>
  <si>
    <t>INSERT INTO RoomInfo VALUES(roomPK_auto_sq.NEXTVAL,'103-22-123479','수락재 풀빌라',320000,'펜션','경기도 가평군 가평읍 상지로 832-86');</t>
  </si>
  <si>
    <t>INSERT INTO RoomInfo VALUES(roomPK_auto_sq.NEXTVAL,'103-22-123479','남재 아웃도어 스파',306612,'펜션','경기도 가평군 가평읍 상지로 832-86');</t>
  </si>
  <si>
    <t>INSERT INTO RoomInfo VALUES(roomPK_auto_sq.NEXTVAL,'103-22-123479','북재 인도어 스파',306612,'펜션','경기도 가평군 가평읍 상지로 832-86');</t>
  </si>
  <si>
    <t>INSERT INTO RoomInfo VALUES(roomPK_auto_sq.NEXTVAL,'103-22-123479','북재 아웃도어 스파',315000,'펜션','경기도 가평군 가평읍 상지로 832-86');</t>
  </si>
  <si>
    <t>INSERT INTO RoomInfo VALUES(roomPK_auto_sq.NEXTVAL,'103-22-123479','세재 인도어 스파',323893,'펜션','경기도 가평군 가평읍 상지로 832-86');</t>
  </si>
  <si>
    <t>INSERT INTO RoomInfo VALUES(roomPK_auto_sq.NEXTVAL,'103-22-123479','도락재 아웃도어 스파',350414,'펜션','경기도 가평군 가평읍 상지로 832-86');</t>
  </si>
  <si>
    <t>INSERT INTO RoomInfo VALUES(roomPK_auto_sq.NEXTVAL,'103-22-123479','도락재 인도어 스파',370000,'펜션','경기도 가평군 가평읍 상지로 832-86');</t>
  </si>
  <si>
    <t>INSERT INTO RoomInfo VALUES(roomPK_auto_sq.NEXTVAL,'103-22-123479','도락재 아웃도어 배스',367933,'펜션','경기도 가평군 가평읍 상지로 832-86');</t>
  </si>
  <si>
    <t>INSERT INTO RoomInfo VALUES(roomPK_auto_sq.NEXTVAL,'103-22-123479','은재 아웃도어 스파',385454,'펜션','경기도 가평군 가평읍 상지로 832-86');</t>
  </si>
  <si>
    <t>INSERT INTO RoomInfo VALUES(roomPK_auto_sq.NEXTVAL,'103-22-123479','남재 인도어 풀스파',385454,'펜션','경기도 가평군 가평읍 상지로 832-86');</t>
  </si>
  <si>
    <t>INSERT INTO RoomInfo VALUES(roomPK_auto_sq.NEXTVAL,'103-22-123480','듀플렉스 킹사이즈',190909,'펜션','경기도 가평군 가평읍 상지로 832-86');</t>
  </si>
  <si>
    <t>INSERT INTO RoomInfo VALUES(roomPK_auto_sq.NEXTVAL,'103-22-123480','룸 킹사이즈',190909,'펜션','제주 서귀포시 토평동 416');</t>
  </si>
  <si>
    <t>INSERT INTO RoomInfo VALUES(roomPK_auto_sq.NEXTVAL,'103-22-123480','트윈룸 더블침대',190909,'펜션','제주 서귀포시 토평동 416');</t>
  </si>
  <si>
    <t>INSERT INTO RoomInfo VALUES(roomPK_auto_sq.NEXTVAL,'103-22-123480','돔 하우스',56136,'펜션','제주 서귀포시 토평동 416');</t>
  </si>
  <si>
    <t>INSERT INTO RoomInfo VALUES(roomPK_auto_sq.NEXTVAL,'103-22-123480','허니문 마운틴 뷰',56136,'펜션','제주 서귀포시 토평동 416');</t>
  </si>
  <si>
    <t>INSERT INTO RoomInfo VALUES(roomPK_auto_sq.NEXTVAL,'103-22-123480','에버 씨사이드',64774,'펜션','제주 서귀포시 토평동 416');</t>
  </si>
  <si>
    <t>INSERT INTO RoomInfo VALUES(roomPK_auto_sq.NEXTVAL,'103-22-123480','허니문 씨사이드',64774,'펜션','제주 서귀포시 토평동 416');</t>
  </si>
  <si>
    <t>INSERT INTO RoomInfo VALUES(roomPK_auto_sq.NEXTVAL,'103-22-123480','오렌지룸',77727,'펜션','제주 서귀포시 토평동 416');</t>
  </si>
  <si>
    <t>INSERT INTO RoomInfo VALUES(roomPK_auto_sq.NEXTVAL,'103-22-123480','스토리룸',82047,'펜션','제주 서귀포시 토평동 416');</t>
  </si>
  <si>
    <t>INSERT INTO RoomInfo VALUES(roomPK_auto_sq.NEXTVAL,'103-22-123480','스토리룸2',86364,'펜션','제주 서귀포시 토평동 416');</t>
  </si>
  <si>
    <t>INSERT INTO RoomInfo VALUES(roomPK_auto_sq.NEXTVAL,'103-22-123480','에버그린룸',129547,'펜션','제주 서귀포시 토평동 416');</t>
  </si>
  <si>
    <t>INSERT INTO RoomInfo VALUES(roomPK_auto_sq.NEXTVAL,'103-22-123481','일반형',190000,'펜션','제주 서귀포시 안덕면 사계로114번길 53-19');</t>
  </si>
  <si>
    <t>INSERT INTO RoomInfo VALUES(roomPK_auto_sq.NEXTVAL,'103-22-123481','복층형',190000,'펜션','제주 서귀포시 안덕면 사계로114번길 53-19');</t>
  </si>
  <si>
    <t>INSERT INTO RoomInfo VALUES(roomPK_auto_sq.NEXTVAL,'103-22-123482','룸101',100000,'펜션','제주 서귀포시 성산읍 환해장성로 233-22');</t>
  </si>
  <si>
    <t>INSERT INTO RoomInfo VALUES(roomPK_auto_sq.NEXTVAL,'103-22-123482','룸102',100000,'펜션','제주 서귀포시 성산읍 환해장성로 233-22');</t>
  </si>
  <si>
    <t>INSERT INTO RoomInfo VALUES(roomPK_auto_sq.NEXTVAL,'103-22-123482','룸103',100000,'펜션','제주 서귀포시 성산읍 환해장성로 233-22');</t>
  </si>
  <si>
    <t>INSERT INTO RoomInfo VALUES(roomPK_auto_sq.NEXTVAL,'103-22-123482','룸104',100000,'펜션','제주 서귀포시 성산읍 환해장성로 233-22');</t>
  </si>
  <si>
    <t>INSERT INTO RoomInfo VALUES(roomPK_auto_sq.NEXTVAL,'103-22-123482','룸105',100000,'펜션','제주 서귀포시 성산읍 환해장성로 233-22');</t>
  </si>
  <si>
    <t>INSERT INTO RoomInfo VALUES(roomPK_auto_sq.NEXTVAL,'103-22-123483','베이직룸1',184455,'펜션','제주 제주시 애월읍 고성남4길 42-3');</t>
  </si>
  <si>
    <t>INSERT INTO RoomInfo VALUES(roomPK_auto_sq.NEXTVAL,'103-22-123483','베이직룸2',184455,'펜션','제주 제주시 애월읍 고성남4길 42-4');</t>
  </si>
  <si>
    <t>INSERT INTO RoomInfo VALUES(roomPK_auto_sq.NEXTVAL,'103-22-123483','베이직룸3',184455,'펜션','제주 제주시 애월읍 고성남4길 42-5');</t>
  </si>
  <si>
    <t>INSERT INTO RoomInfo VALUES(roomPK_auto_sq.NEXTVAL,'103-22-123483','베이직룸4',184455,'펜션','제주 제주시 애월읍 고성남4길 42-6');</t>
  </si>
  <si>
    <t>INSERT INTO RoomInfo VALUES(roomPK_auto_sq.NEXTVAL,'103-22-123483','베이직룸5',184455,'펜션','제주 제주시 애월읍 고성남4길 42-7');</t>
  </si>
  <si>
    <t>INSERT INTO RoomInfo VALUES(roomPK_auto_sq.NEXTVAL,'103-22-123483','베이직룸6',184455,'펜션','제주 제주시 애월읍 고성남4길 42-8');</t>
  </si>
  <si>
    <t>INSERT INTO RoomInfo VALUES(roomPK_auto_sq.NEXTVAL,'103-22-123483','베이직룸7',184455,'펜션','제주 제주시 애월읍 고성남4길 42-9');</t>
  </si>
  <si>
    <t>INSERT INTO RoomInfo VALUES(roomPK_auto_sq.NEXTVAL,'103-22-123483','베이직룸8',184455,'펜션','제주 제주시 애월읍 고성남4길 42-10');</t>
  </si>
  <si>
    <t>INSERT INTO RoomInfo VALUES(roomPK_auto_sq.NEXTVAL,'103-22-123483','베이직룸9',184455,'펜션','제주 제주시 애월읍 고성남4길 42-11');</t>
  </si>
  <si>
    <t>INSERT INTO RoomInfo VALUES(roomPK_auto_sq.NEXTVAL,'103-22-123483','베이직룸10',184455,'펜션','제주 제주시 애월읍 고성남4길 42-12');</t>
  </si>
  <si>
    <t>INSERT INTO RoomInfo VALUES(roomPK_auto_sq.NEXTVAL,'103-22-123484','배드룸 하우스',200000,'펜션','강원도 평창군 봉평면 안흥동길 70-83');</t>
  </si>
  <si>
    <t>INSERT INTO RoomInfo VALUES(roomPK_auto_sq.NEXTVAL,'103-22-123484','스탠다드 스튜디오',300000,'펜션','강원도 평창군 봉평면 안흥동길 70-83');</t>
  </si>
  <si>
    <t>INSERT INTO RoomInfo VALUES(roomPK_auto_sq.NEXTVAL,'103-22-123484','배드름 하우스1',300000,'펜션','강원도 평창군 봉평면 안흥동길 70-83');</t>
  </si>
  <si>
    <t>INSERT INTO RoomInfo VALUES(roomPK_auto_sq.NEXTVAL,'103-22-123484','스탠다드 스위트',400000,'펜션','강원도 평창군 봉평면 안흥동길 70-83');</t>
  </si>
  <si>
    <t>INSERT INTO RoomInfo VALUES(roomPK_auto_sq.NEXTVAL,'103-22-123485','카라반1',112000,'펜션','강원도 강릉시 사천면 공회당길 7-13');</t>
  </si>
  <si>
    <t>INSERT INTO RoomInfo VALUES(roomPK_auto_sq.NEXTVAL,'103-22-123485','카라반2',112000,'펜션','강원도 강릉시 사천면 공회당길 7-13');</t>
  </si>
  <si>
    <t>INSERT INTO RoomInfo VALUES(roomPK_auto_sq.NEXTVAL,'103-22-123485','카라반3',112000,'펜션','강원도 강릉시 사천면 공회당길 7-13');</t>
  </si>
  <si>
    <t>INSERT INTO RoomInfo VALUES(roomPK_auto_sq.NEXTVAL,'103-22-123485','카라반4',112000,'펜션','강원도 강릉시 사천면 공회당길 7-13');</t>
  </si>
  <si>
    <t>INSERT INTO RoomInfo VALUES(roomPK_auto_sq.NEXTVAL,'103-22-123485','카라반5',112000,'펜션','강원도 강릉시 사천면 공회당길 7-13');</t>
  </si>
  <si>
    <t>INSERT INTO RoomInfo VALUES(roomPK_auto_sq.NEXTVAL,'103-22-123485','카라반6',112000,'펜션','강원도 강릉시 사천면 공회당길 7-13');</t>
  </si>
  <si>
    <t>INSERT INTO RoomInfo VALUES(roomPK_auto_sq.NEXTVAL,'103-22-123485','카라반7',112000,'펜션','강원도 강릉시 사천면 공회당길 7-13');</t>
  </si>
  <si>
    <t>INSERT INTO RoomInfo VALUES(roomPK_auto_sq.NEXTVAL,'103-22-123485','카라반8',112000,'펜션','강원도 강릉시 사천면 공회당길 7-13');</t>
  </si>
  <si>
    <t>INSERT INTO RoomInfo VALUES(roomPK_auto_sq.NEXTVAL,'103-22-123485','카라반9',112000,'펜션','강원도 강릉시 사천면 공회당길 7-13');</t>
  </si>
  <si>
    <t>INSERT INTO RoomInfo VALUES(roomPK_auto_sq.NEXTVAL,'103-22-123485','카라반1-수영가능',200000,'펜션','강원도 강릉시 사천면 공회당길 7-13');</t>
  </si>
  <si>
    <t>INSERT INTO RoomInfo VALUES(roomPK_auto_sq.NEXTVAL,'103-22-123485','카라반2-수영가능',200000,'펜션','강원도 강릉시 사천면 공회당길 7-13');</t>
  </si>
  <si>
    <t>INSERT INTO RoomInfo VALUES(roomPK_auto_sq.NEXTVAL,'103-22-123485','카라반3-수영가능',200000,'펜션','강원도 강릉시 사천면 공회당길 7-13');</t>
  </si>
  <si>
    <t>INSERT INTO RoomInfo VALUES(roomPK_auto_sq.NEXTVAL,'103-22-123485','카라반4-수영가능',200000,'펜션','강원도 강릉시 사천면 공회당길 7-13');</t>
  </si>
  <si>
    <t>INSERT INTO RoomInfo VALUES(roomPK_auto_sq.NEXTVAL,'103-22-123485','카라반5-수영가능',200000,'펜션','강원도 강릉시 사천면 공회당길 7-13');</t>
  </si>
  <si>
    <t>INSERT INTO RoomInfo VALUES(roomPK_auto_sq.NEXTVAL,'103-22-123485','카라반6-수영가능',200000,'펜션','강원도 강릉시 사천면 공회당길 7-13');</t>
  </si>
  <si>
    <t>INSERT INTO RoomInfo VALUES(roomPK_auto_sq.NEXTVAL,'103-22-123486','더블룸',54545,'펜션','강원도 속초시 해오름로 85-1');</t>
  </si>
  <si>
    <t>INSERT INTO RoomInfo VALUES(roomPK_auto_sq.NEXTVAL,'103-22-123486','패밀리 쿼드리플룸',81818,'펜션','강원도 속초시 해오름로 85-1');</t>
  </si>
  <si>
    <t>INSERT INTO RoomInfo VALUES(roomPK_auto_sq.NEXTVAL,'103-22-123486','배드룸 아파트먼트',100000,'펜션','강원도 속초시 해오름로 85-1');</t>
  </si>
  <si>
    <t>INSERT INTO RoomInfo VALUES(roomPK_auto_sq.NEXTVAL,'103-22-123486','수페리어 더블룸',136353,'펜션','강원도 속초시 해오름로 85-1');</t>
  </si>
  <si>
    <t>INSERT INTO RoomInfo VALUES(roomPK_auto_sq.NEXTVAL,'103-22-123486','프리미엄 더블룸',165000,'펜션','강원도 속초시 해오름로 85-1');</t>
  </si>
  <si>
    <t>INSERT INTO RoomInfo VALUES(roomPK_auto_sq.NEXTVAL,'103-22-123486','디럭스 더블룸',145455,'펜션','강원도 속초시 해오름로 85-1');</t>
  </si>
  <si>
    <t>INSERT INTO RoomInfo VALUES(roomPK_auto_sq.NEXTVAL,'103-22-123486','트윈베드룸',100000,'펜션','강원도 속초시 해오름로 85-1');</t>
  </si>
  <si>
    <t>INSERT INTO RoomInfo VALUES(roomPK_auto_sq.NEXTVAL,'103-22-123486','수페리어 아파트',100000,'펜션','강원도 속초시 해오름로 85-1');</t>
  </si>
  <si>
    <t>INSERT INTO RoomInfo VALUES(roomPK_auto_sq.NEXTVAL,'103-22-123487','한반도 데크1',60000,'캠핑','강원 영월군 한반도면 서강로 1159-93');</t>
  </si>
  <si>
    <t>INSERT INTO RoomInfo VALUES(roomPK_auto_sq.NEXTVAL,'103-22-123487','한반도 데크2',60000,'캠핑','강원 영월군 한반도면 서강로 1159-93');</t>
  </si>
  <si>
    <t>INSERT INTO RoomInfo VALUES(roomPK_auto_sq.NEXTVAL,'103-22-123487','한반도 데크3',60000,'캠핑','강원 영월군 한반도면 서강로 1159-93');</t>
  </si>
  <si>
    <t>INSERT INTO RoomInfo VALUES(roomPK_auto_sq.NEXTVAL,'103-22-123487','한반도 데크4',60000,'캠핑','강원 영월군 한반도면 서강로 1159-93');</t>
  </si>
  <si>
    <t>INSERT INTO RoomInfo VALUES(roomPK_auto_sq.NEXTVAL,'103-22-123487','한반도 데크5',60000,'캠핑','강원 영월군 한반도면 서강로 1159-93');</t>
  </si>
  <si>
    <t>INSERT INTO RoomInfo VALUES(roomPK_auto_sq.NEXTVAL,'103-22-123487','한반도 데크6',60000,'캠핑','강원 영월군 한반도면 서강로 1159-93');</t>
  </si>
  <si>
    <t>INSERT INTO RoomInfo VALUES(roomPK_auto_sq.NEXTVAL,'103-22-123487','쉼터 데크1',70000,'캠핑','강원 영월군 한반도면 서강로 1159-93');</t>
  </si>
  <si>
    <t>INSERT INTO RoomInfo VALUES(roomPK_auto_sq.NEXTVAL,'103-22-123487','쉼터 데크2',70000,'캠핑','강원 영월군 한반도면 서강로 1159-93');</t>
  </si>
  <si>
    <t>INSERT INTO RoomInfo VALUES(roomPK_auto_sq.NEXTVAL,'103-22-123487','쉼터 데크3',70000,'캠핑','강원 영월군 한반도면 서강로 1159-93');</t>
  </si>
  <si>
    <t>INSERT INTO RoomInfo VALUES(roomPK_auto_sq.NEXTVAL,'103-22-123487','쉼터 데크4',70000,'캠핑','강원 영월군 한반도면 서강로 1159-93');</t>
  </si>
  <si>
    <t>INSERT INTO RoomInfo VALUES(roomPK_auto_sq.NEXTVAL,'103-22-123487','쉼터 데크5',70000,'캠핑','강원 영월군 한반도면 서강로 1159-93');</t>
  </si>
  <si>
    <t>INSERT INTO RoomInfo VALUES(roomPK_auto_sq.NEXTVAL,'103-22-123488','파쇄석1',50000,'캠핑','경기 양주시 남면 감악산로 632-32');</t>
  </si>
  <si>
    <t>INSERT INTO RoomInfo VALUES(roomPK_auto_sq.NEXTVAL,'103-22-123488','파쇄석2',50000,'캠핑','경기 양주시 남면 감악산로 632-32');</t>
  </si>
  <si>
    <t>INSERT INTO RoomInfo VALUES(roomPK_auto_sq.NEXTVAL,'103-22-123488','파쇄석3',50000,'캠핑','경기 양주시 남면 감악산로 632-32');</t>
  </si>
  <si>
    <t>INSERT INTO RoomInfo VALUES(roomPK_auto_sq.NEXTVAL,'103-22-123488','파쇄석4',50000,'캠핑','경기 양주시 남면 감악산로 632-32');</t>
  </si>
  <si>
    <t>INSERT INTO RoomInfo VALUES(roomPK_auto_sq.NEXTVAL,'103-22-123488','파쇄석5',50000,'캠핑','경기 양주시 남면 감악산로 632-32');</t>
  </si>
  <si>
    <t>INSERT INTO RoomInfo VALUES(roomPK_auto_sq.NEXTVAL,'103-22-123488','파쇄석6',50000,'캠핑','경기 양주시 남면 감악산로 632-32');</t>
  </si>
  <si>
    <t>INSERT INTO RoomInfo VALUES(roomPK_auto_sq.NEXTVAL,'103-22-123488','파쇄석7',50000,'캠핑','경기 양주시 남면 감악산로 632-32');</t>
  </si>
  <si>
    <t>INSERT INTO RoomInfo VALUES(roomPK_auto_sq.NEXTVAL,'103-22-123488','파쇄석8',50000,'캠핑','경기 양주시 남면 감악산로 632-32');</t>
  </si>
  <si>
    <t>INSERT INTO RoomInfo VALUES(roomPK_auto_sq.NEXTVAL,'103-22-123488','파쇄석9',50000,'캠핑','경기 양주시 남면 감악산로 632-32');</t>
  </si>
  <si>
    <t>INSERT INTO RoomInfo VALUES(roomPK_auto_sq.NEXTVAL,'103-22-123488','파쇄석10',50000,'캠핑','경기 양주시 남면 감악산로 632-32');</t>
  </si>
  <si>
    <t>INSERT INTO RoomInfo VALUES(roomPK_auto_sq.NEXTVAL,'103-22-123488','파쇄석11',50000,'캠핑','경기 양주시 남면 감악산로 632-32');</t>
  </si>
  <si>
    <t>INSERT INTO RoomInfo VALUES(roomPK_auto_sq.NEXTVAL,'103-22-123488','파쇄석12',50000,'캠핑','경기 양주시 남면 감악산로 632-32');</t>
  </si>
  <si>
    <t>INSERT INTO RoomInfo VALUES(roomPK_auto_sq.NEXTVAL,'103-22-123488','파쇄석13',50000,'캠핑','경기 양주시 남면 감악산로 632-32');</t>
  </si>
  <si>
    <t>INSERT INTO RoomInfo VALUES(roomPK_auto_sq.NEXTVAL,'103-22-123488','파쇄석14',50000,'캠핑','경기 양주시 남면 감악산로 632-32');</t>
  </si>
  <si>
    <t>INSERT INTO RoomInfo VALUES(roomPK_auto_sq.NEXTVAL,'103-22-123488','파쇄석15',50000,'캠핑','경기 양주시 남면 감악산로 632-32');</t>
  </si>
  <si>
    <t>INSERT INTO RoomInfo VALUES(roomPK_auto_sq.NEXTVAL,'103-22-123488','파쇄석16',50000,'캠핑','경기 양주시 남면 감악산로 632-32');</t>
  </si>
  <si>
    <t>INSERT INTO RoomInfo VALUES(roomPK_auto_sq.NEXTVAL,'103-22-123488','파쇄석17',50000,'캠핑','경기 양주시 남면 감악산로 632-32');</t>
  </si>
  <si>
    <t>INSERT INTO RoomInfo VALUES(roomPK_auto_sq.NEXTVAL,'103-22-123488','파쇄석18',50000,'캠핑','경기 양주시 남면 감악산로 632-32');</t>
  </si>
  <si>
    <t>INSERT INTO RoomInfo VALUES(roomPK_auto_sq.NEXTVAL,'103-22-123489','백록광장-1',50000,'캠핑','제주 서귀포시 상효동 1161-1');</t>
  </si>
  <si>
    <t>INSERT INTO RoomInfo VALUES(roomPK_auto_sq.NEXTVAL,'103-22-123489','백록광장-2',50000,'캠핑','제주 서귀포시 상효동 1161-1');</t>
  </si>
  <si>
    <t>INSERT INTO RoomInfo VALUES(roomPK_auto_sq.NEXTVAL,'103-22-123489','백록광장-3',50000,'캠핑','제주 서귀포시 상효동 1161-1');</t>
  </si>
  <si>
    <t>INSERT INTO RoomInfo VALUES(roomPK_auto_sq.NEXTVAL,'103-22-123489','백록광장-4',50000,'캠핑','제주 서귀포시 상효동 1161-1');</t>
  </si>
  <si>
    <t>INSERT INTO RoomInfo VALUES(roomPK_auto_sq.NEXTVAL,'103-22-123489','백록광장-5',50000,'캠핑','제주 서귀포시 상효동 1161-1');</t>
  </si>
  <si>
    <t>INSERT INTO RoomInfo VALUES(roomPK_auto_sq.NEXTVAL,'103-22-123489','백록광장-6',50000,'캠핑','제주 서귀포시 상효동 1161-1');</t>
  </si>
  <si>
    <t>INSERT INTO RoomInfo VALUES(roomPK_auto_sq.NEXTVAL,'103-22-123489','백록광장-7',50000,'캠핑','제주 서귀포시 상효동 1161-1');</t>
  </si>
  <si>
    <t>INSERT INTO RoomInfo VALUES(roomPK_auto_sq.NEXTVAL,'103-22-123489','백록광장-8',50000,'캠핑','제주 서귀포시 상효동 1161-1');</t>
  </si>
  <si>
    <t>INSERT INTO RoomInfo VALUES(roomPK_auto_sq.NEXTVAL,'103-22-123489','백록광장-9',50000,'캠핑','제주 서귀포시 상효동 1161-1');</t>
  </si>
  <si>
    <t>INSERT INTO RoomInfo VALUES(roomPK_auto_sq.NEXTVAL,'103-22-123489','백록광장-10',50000,'캠핑','제주 서귀포시 상효동 1161-1');</t>
  </si>
  <si>
    <t>INSERT INTO RoomInfo VALUES(roomPK_auto_sq.NEXTVAL,'103-22-123489','글램핑 독채',200000,'캠핑','제주 서귀포시 상효동 1161-1');</t>
  </si>
  <si>
    <t>INSERT INTO RoomInfo VALUES(roomPK_auto_sq.NEXTVAL,'103-22-123490','스카이존1',60000,'캠핑','경기도 포천시 신북면 탑신로 940');</t>
  </si>
  <si>
    <t>INSERT INTO RoomInfo VALUES(roomPK_auto_sq.NEXTVAL,'103-22-123490','스카이존2',60000,'캠핑','경기도 포천시 신북면 탑신로 940');</t>
  </si>
  <si>
    <t>INSERT INTO RoomInfo VALUES(roomPK_auto_sq.NEXTVAL,'103-22-123490','스카이존3',60000,'캠핑','경기도 포천시 신북면 탑신로 940');</t>
  </si>
  <si>
    <t>INSERT INTO RoomInfo VALUES(roomPK_auto_sq.NEXTVAL,'103-22-123490','스카이존4',60000,'캠핑','경기도 포천시 신북면 탑신로 940');</t>
  </si>
  <si>
    <t>INSERT INTO RoomInfo VALUES(roomPK_auto_sq.NEXTVAL,'103-22-123490','스카이존5',60000,'캠핑','경기도 포천시 신북면 탑신로 940');</t>
  </si>
  <si>
    <t>INSERT INTO RoomInfo VALUES(roomPK_auto_sq.NEXTVAL,'103-22-123490','스카이존6',60000,'캠핑','경기도 포천시 신북면 탑신로 940');</t>
  </si>
  <si>
    <t>INSERT INTO RoomInfo VALUES(roomPK_auto_sq.NEXTVAL,'103-22-123490','스카이존7',60000,'캠핑','경기도 포천시 신북면 탑신로 940');</t>
  </si>
  <si>
    <t>INSERT INTO RoomInfo VALUES(roomPK_auto_sq.NEXTVAL,'103-22-123490','스카이존8',60000,'캠핑','경기도 포천시 신북면 탑신로 940');</t>
  </si>
  <si>
    <t>INSERT INTO RoomInfo VALUES(roomPK_auto_sq.NEXTVAL,'103-22-123490','스카이존9',60000,'캠핑','경기도 포천시 신북면 탑신로 940');</t>
  </si>
  <si>
    <t>INSERT INTO RoomInfo VALUES(roomPK_auto_sq.NEXTVAL,'103-22-123490','스카이존10',60000,'캠핑','경기도 포천시 신북면 탑신로 940');</t>
  </si>
  <si>
    <t>INSERT INTO RoomInfo VALUES(roomPK_auto_sq.NEXTVAL,'103-22-123490','밸리존1',70000,'캠핑','경기도 포천시 신북면 탑신로 940');</t>
  </si>
  <si>
    <t>INSERT INTO RoomInfo VALUES(roomPK_auto_sq.NEXTVAL,'103-22-123490','밸리존2',70000,'캠핑','경기도 포천시 신북면 탑신로 940');</t>
  </si>
  <si>
    <t>INSERT INTO RoomInfo VALUES(roomPK_auto_sq.NEXTVAL,'103-22-123490','밸리존3',70000,'캠핑','경기도 포천시 신북면 탑신로 940');</t>
  </si>
  <si>
    <t>INSERT INTO RoomInfo VALUES(roomPK_auto_sq.NEXTVAL,'103-22-123490','밸리존4',70000,'캠핑','경기도 포천시 신북면 탑신로 940');</t>
  </si>
  <si>
    <t>INSERT INTO RoomInfo VALUES(roomPK_auto_sq.NEXTVAL,'103-22-123490','밸리존5',70000,'캠핑','경기도 포천시 신북면 탑신로 940');</t>
  </si>
  <si>
    <t>INSERT INTO RoomInfo VALUES(roomPK_auto_sq.NEXTVAL,'103-22-123490','밸리존6',70000,'캠핑','경기도 포천시 신북면 탑신로 940');</t>
  </si>
  <si>
    <t>INSERT INTO RoomInfo VALUES(roomPK_auto_sq.NEXTVAL,'103-22-123490','밸리존7',70000,'캠핑','경기도 포천시 신북면 탑신로 940');</t>
  </si>
  <si>
    <t>INSERT INTO RoomInfo VALUES(roomPK_auto_sq.NEXTVAL,'103-22-123490','밸리존8',70000,'캠핑','경기도 포천시 신북면 탑신로 940');</t>
  </si>
  <si>
    <t>INSERT INTO RoomInfo VALUES(roomPK_auto_sq.NEXTVAL,'103-22-123490','밸리존9',70000,'캠핑','경기도 포천시 신북면 탑신로 940');</t>
  </si>
  <si>
    <t>INSERT INTO RoomInfo VALUES(roomPK_auto_sq.NEXTVAL,'103-22-123490','밸리존10',70000,'캠핑','경기도 포천시 신북면 탑신로 940');</t>
  </si>
  <si>
    <t>INSERT INTO RoomInfo VALUES(roomPK_auto_sq.NEXTVAL,'103-22-123490','포레스트존1',80000,'캠핑','경기도 포천시 신북면 탑신로 940');</t>
  </si>
  <si>
    <t>INSERT INTO RoomInfo VALUES(roomPK_auto_sq.NEXTVAL,'103-22-123490','포레스트존2',80000,'캠핑','경기도 포천시 신북면 탑신로 940');</t>
  </si>
  <si>
    <t>INSERT INTO RoomInfo VALUES(roomPK_auto_sq.NEXTVAL,'103-22-123490','포레스트존3',80000,'캠핑','경기도 포천시 신북면 탑신로 940');</t>
  </si>
  <si>
    <t>INSERT INTO RoomInfo VALUES(roomPK_auto_sq.NEXTVAL,'103-22-123490','포레스트존4',80000,'캠핑','경기도 포천시 신북면 탑신로 940');</t>
  </si>
  <si>
    <t>INSERT INTO RoomInfo VALUES(roomPK_auto_sq.NEXTVAL,'103-22-123490','포레스트존5',80000,'캠핑','경기도 포천시 신북면 탑신로 940');</t>
  </si>
  <si>
    <t>INSERT INTO RoomInfo VALUES(roomPK_auto_sq.NEXTVAL,'103-22-123490','포레스트존6',80000,'캠핑','경기도 포천시 신북면 탑신로 940');</t>
  </si>
  <si>
    <t>INSERT INTO RoomInfo VALUES(roomPK_auto_sq.NEXTVAL,'103-22-123490','포레스트존7',80000,'캠핑','경기도 포천시 신북면 탑신로 940');</t>
  </si>
  <si>
    <t>INSERT INTO RoomInfo VALUES(roomPK_auto_sq.NEXTVAL,'103-22-123490','포레스트존8',80000,'캠핑','경기도 포천시 신북면 탑신로 940');</t>
  </si>
  <si>
    <t>INSERT INTO RoomInfo VALUES(roomPK_auto_sq.NEXTVAL,'103-22-123490','포레스트존9',80000,'캠핑','경기도 포천시 신북면 탑신로 940');</t>
  </si>
  <si>
    <t>INSERT INTO RoomInfo VALUES(roomPK_auto_sq.NEXTVAL,'103-22-123490','포레스트존10',80000,'캠핑','경기도 포천시 신북면 탑신로 940');</t>
  </si>
  <si>
    <t>INSERT INTO RoomInfo VALUES(roomPK_auto_sq.NEXTVAL,'103-22-123462','메인 타워 슈페리어 트윈룸',300000,'호텔','서울특별시 중구 을지로 30');</t>
  </si>
  <si>
    <t>INSERT INTO RoomInfo VALUES(roomPK_auto_sq.NEXTVAL,'103-22-123462','수페리어 트윈룸',350000,'호텔','서울특별시 중구 을지로 30');</t>
  </si>
  <si>
    <t>INSERT INTO RoomInfo VALUES(roomPK_auto_sq.NEXTVAL,'103-22-123462','그랜드 드릭스 패밀리룸',400000,'호텔','서울특별시 중구 을지로 30');</t>
  </si>
  <si>
    <t>INSERT INTO RoomInfo VALUES(roomPK_auto_sq.NEXTVAL,'103-22-123462','프리미어 더블룸',400000,'호텔','서울특별시 중구 을지로 30');</t>
  </si>
  <si>
    <t>INSERT INTO RoomInfo VALUES(roomPK_auto_sq.NEXTVAL,'103-22-123462','프리미어 트윈룸',400000,'호텔','서울특별시 중구 을지로 30');</t>
  </si>
  <si>
    <t>INSERT INTO RoomInfo VALUES(roomPK_auto_sq.NEXTVAL,'103-22-123462','메인 타워 클럽 디럭스 더블룸',500000,'호텔','서울특별시 중구 을지로 30');</t>
  </si>
  <si>
    <t>INSERT INTO RoomInfo VALUES(roomPK_auto_sq.NEXTVAL,'103-22-123462','클럽 주니어 스위트',600000,'호텔','서울특별시 중구 을지로 30');</t>
  </si>
  <si>
    <t>INSERT INTO RoomInfo VALUES(roomPK_auto_sq.NEXTVAL,'103-22-123462','이그제큐티브 그랜드 디럭스',600000,'호텔','서울특별시 중구 을지로 30');</t>
  </si>
  <si>
    <t>INSERT INTO RoomInfo VALUES(roomPK_auto_sq.NEXTVAL,'103-22-123463','디럭스 시티뷰 룸',500000,'호텔','서울특별시 서초구 신반포로 176');</t>
  </si>
  <si>
    <t>INSERT INTO RoomInfo VALUES(roomPK_auto_sq.NEXTVAL,'103-22-123463','이그제큐티브 디럭스 더블룸',600000,'호텔','서울특별시 서초구 신반포로 176');</t>
  </si>
  <si>
    <t>INSERT INTO RoomInfo VALUES(roomPK_auto_sq.NEXTVAL,'103-22-123463','그리핀1베드룸 스위트',700000,'호텔','서울특별시 서초구 신반포로 176');</t>
  </si>
  <si>
    <t>INSERT INTO RoomInfo VALUES(roomPK_auto_sq.NEXTVAL,'103-22-123463','킹 스위트 킹',800000,'호텔','서울특별시 서초구 신반포로 176');</t>
  </si>
  <si>
    <t>INSERT INTO RoomInfo VALUES(roomPK_auto_sq.NEXTVAL,'103-22-123463','비즈니스 스위트 킹',1000000,'호텔','서울특별시 서초구 신반포로 176');</t>
  </si>
  <si>
    <t>INSERT INTO RoomInfo VALUES(roomPK_auto_sq.NEXTVAL,'103-22-123464','그랜드 디럭스 더블룸',600000,'호텔','서울특별시 송파구 올림픽로 300 롯데월드 타워 76-101층');</t>
  </si>
  <si>
    <t>INSERT INTO RoomInfo VALUES(roomPK_auto_sq.NEXTVAL,'103-22-123464','프리미어 더블룸',650000,'호텔','서울특별시 송파구 올림픽로 300 롯데월드 타워 76-101층');</t>
  </si>
  <si>
    <t>INSERT INTO RoomInfo VALUES(roomPK_auto_sq.NEXTVAL,'103-22-123464','시그니엘 프리미어 더블룸',750000,'호텔','서울특별시 송파구 올림픽로 300 롯데월드 타워 76-101층');</t>
  </si>
  <si>
    <t>INSERT INTO RoomInfo VALUES(roomPK_auto_sq.NEXTVAL,'103-22-123464','디럭스 스위트 더블룸',1400000,'호텔','서울특별시 송파구 올림픽로 300 롯데월드 타워 76-101층');</t>
  </si>
  <si>
    <t>INSERT INTO RoomInfo VALUES(roomPK_auto_sq.NEXTVAL,'103-22-123464','프리미어 스위트 더블룸',2300000,'호텔','서울특별시 송파구 올림픽로 300 롯데월드 타워 76-101층');</t>
  </si>
  <si>
    <t>INSERT INTO RoomInfo VALUES(roomPK_auto_sq.NEXTVAL,'103-22-123464','프리지덴셜 스위트룸',10000000,'호텔','서울특별시 송파구 올림픽로 300 롯데월드 타워 76-101층');</t>
  </si>
  <si>
    <t>INSERT INTO RoomInfo VALUES(roomPK_auto_sq.NEXTVAL,'103-22-123465','바다뷰 킹룸',400000,'호텔','제주 제주시 노연로 12');</t>
  </si>
  <si>
    <t>INSERT INTO RoomInfo VALUES(roomPK_auto_sq.NEXTVAL,'103-22-123465','그랜드 스위트 킹',800000,'호텔','제주 제주시 노연로 12');</t>
  </si>
  <si>
    <t>INSERT INTO RoomInfo VALUES(roomPK_auto_sq.NEXTVAL,'103-22-123465','그랜드 스위트 더블',700000,'호텔','제주 제주시 노연로 12');</t>
  </si>
  <si>
    <t>INSERT INTO RoomInfo VALUES(roomPK_auto_sq.NEXTVAL,'103-22-123465','코너 스위트 킹',800000,'호텔','제주 제주시 노연로 12');</t>
  </si>
  <si>
    <t>INSERT INTO RoomInfo VALUES(roomPK_auto_sq.NEXTVAL,'103-22-123465','디플로메틱 스윗트 더블',3700000,'호텔','제주 제주시 노연로 12');</t>
  </si>
  <si>
    <t>INSERT INTO RoomInfo VALUES(roomPK_auto_sq.NEXTVAL,'103-22-123465','디플로메틱 스위트 킹',3500000,'호텔','제주 제주시 노연로 12');</t>
  </si>
  <si>
    <t>INSERT INTO RoomInfo VALUES(roomPK_auto_sq.NEXTVAL,'103-22-123466','디럭스 패밀리 트윈룸',300000,'호텔','제주 서귀포시 중문관광로 72번길 35');</t>
  </si>
  <si>
    <t>INSERT INTO RoomInfo VALUES(roomPK_auto_sq.NEXTVAL,'103-22-123466','디럭스 가든룸 더블룸',300000,'호텔','제주 서귀포시 중문관광로 72번길 35');</t>
  </si>
  <si>
    <t>INSERT INTO RoomInfo VALUES(roomPK_auto_sq.NEXTVAL,'103-22-123466','프리미어 가든뷰 패밀리 트윈룸',350000,'호텔','제주 서귀포시 중문관광로 72번길 35');</t>
  </si>
  <si>
    <t>INSERT INTO RoomInfo VALUES(roomPK_auto_sq.NEXTVAL,'103-22-123466','샬럿 디럭스 오션뷰 더블룸',400000,'호텔','제주 서귀포시 중문관광로 72번길 35');</t>
  </si>
  <si>
    <t>INSERT INTO RoomInfo VALUES(roomPK_auto_sq.NEXTVAL,'103-22-123466','디럭스 마운틴 뷰 스위트',500000,'호텔','제주 서귀포시 중문관광로 72번길 35');</t>
  </si>
  <si>
    <t>INSERT INTO RoomInfo VALUES(roomPK_auto_sq.NEXTVAL,'103-22-123466','프리미어 오션뷰 스위트룸',700000,'호텔','제주 서귀포시 중문관광로 72번길 35');</t>
  </si>
  <si>
    <t>INSERT INTO RoomInfo VALUES(roomPK_auto_sq.NEXTVAL,'103-22-123466','풀빌라 스위트룸',1400000,'호텔','제주 서귀포시 중문관광로 72번길 35');</t>
  </si>
  <si>
    <t>INSERT INTO RoomInfo VALUES(roomPK_auto_sq.NEXTVAL,'103-22-123467','스탠다드 더블 마운틴',300000,'호텔','제주 서귀포시 중문관광로 72번길 75');</t>
  </si>
  <si>
    <t>INSERT INTO RoomInfo VALUES(roomPK_auto_sq.NEXTVAL,'103-22-123467','디럭스 더블 마운틴',3400000,'호텔','제주 서귀포시 중문관광로 72번길 75');</t>
  </si>
  <si>
    <t>INSERT INTO RoomInfo VALUES(roomPK_auto_sq.NEXTVAL,'103-22-123467','스탠다드 더블 가든',400000,'호텔','제주 서귀포시 중문관광로 72번길 75');</t>
  </si>
  <si>
    <t>INSERT INTO RoomInfo VALUES(roomPK_auto_sq.NEXTVAL,'103-22-123467','스탠다드 테라스 더블 가든',400000,'호텔','제주 서귀포시 중문관광로 72번길 75');</t>
  </si>
  <si>
    <t>INSERT INTO RoomInfo VALUES(roomPK_auto_sq.NEXTVAL,'103-22-123467','코너 스위트 마운틴',700000,'호텔','제주 서귀포시 중문관광로 72번길 75');</t>
  </si>
  <si>
    <t>INSERT INTO RoomInfo VALUES(roomPK_auto_sq.NEXTVAL,'103-22-123467','프리미어 더블 오션',400000,'호텔','제주 서귀포시 중문관광로 72번길 75');</t>
  </si>
  <si>
    <t>INSERT INTO RoomInfo VALUES(roomPK_auto_sq.NEXTVAL,'103-22-123467','슈페리어 스위트 마운틴',900000,'호텔','제주 서귀포시 중문관광로 72번길 75');</t>
  </si>
  <si>
    <t>INSERT INTO RoomInfo VALUES(roomPK_auto_sq.NEXTVAL,'103-22-123467','퍼시픽 디럭스 스위트 가든',1000000,'호텔','제주 서귀포시 중문관광로 72번길 75');</t>
  </si>
  <si>
    <t>INSERT INTO RoomInfo VALUES(roomPK_auto_sq.NEXTVAL,'103-22-123467','로얄 스위트',5000000,'호텔','제주 서귀포시 중문관광로 72번길 75');</t>
  </si>
  <si>
    <t>INSERT INTO RoomInfo VALUES(roomPK_auto_sq.NEXTVAL,'103-22-123468','프리미엄 디럭스 더블룸',529000,'호텔','강원도 강릉 해안로406번길 2');</t>
  </si>
  <si>
    <t>INSERT INTO RoomInfo VALUES(roomPK_auto_sq.NEXTVAL,'103-22-123468','프리미엄 디럭스 트윈룸',528000,'호텔','강원도 강릉 해안로406번길 2');</t>
  </si>
  <si>
    <t>INSERT INTO RoomInfo VALUES(roomPK_auto_sq.NEXTVAL,'103-22-123468','갤러리 더블',583000,'호텔','강원도 강릉 해안로406번길 2');</t>
  </si>
  <si>
    <t>INSERT INTO RoomInfo VALUES(roomPK_auto_sq.NEXTVAL,'103-22-123468','호안재',6600000,'호텔','강원도 강릉 해안로406번길 2');</t>
  </si>
  <si>
    <t>INSERT INTO RoomInfo VALUES(roomPK_auto_sq.NEXTVAL,'103-22-123468','코너 스위트',869000,'호텔','강원도 강릉 해안로406번길 2');</t>
  </si>
  <si>
    <t>INSERT INTO RoomInfo VALUES(roomPK_auto_sq.NEXTVAL,'103-22-123468','이그제큐티브 스위트',924000,'호텔','강원도 강릉 해안로406번길 2');</t>
  </si>
  <si>
    <t>INSERT INTO RoomInfo VALUES(roomPK_auto_sq.NEXTVAL,'103-22-123468','프레지덴셜 스위트',8800000,'호텔','강원도 강릉 해안로406번길 2');</t>
  </si>
  <si>
    <t>INSERT INTO RoomInfo VALUES(roomPK_auto_sq.NEXTVAL,'103-22-123469','스탠다드룸',1340000,'호텔','강원도 강릉 강동면 율곡로 1441');</t>
  </si>
  <si>
    <t>INSERT INTO RoomInfo VALUES(roomPK_auto_sq.NEXTVAL,'103-22-123469','듀플렉스',170000,'호텔','강원도 강릉 강동면 율곡로 1441');</t>
  </si>
  <si>
    <t>INSERT INTO RoomInfo VALUES(roomPK_auto_sq.NEXTVAL,'103-22-123469','주니어 스위트',180000,'호텔','강원도 강릉 강동면 율곡로 1441');</t>
  </si>
  <si>
    <t>INSERT INTO RoomInfo VALUES(roomPK_auto_sq.NEXTVAL,'103-22-123469','이그제큐티브 더블',270000,'호텔','강원도 강릉 강동면 율곡로 1441');</t>
  </si>
  <si>
    <t>INSERT INTO RoomInfo VALUES(roomPK_auto_sq.NEXTVAL,'103-22-123469','슈페리어 더블',330000,'호텔','강원도 강릉 강동면 율곡로 1441');</t>
  </si>
  <si>
    <t>INSERT INTO RoomInfo VALUES(roomPK_auto_sq.NEXTVAL,'103-22-123469','디럭스 스위트',280000,'호텔','강원도 강릉 강동면 율곡로 1441');</t>
  </si>
  <si>
    <t>INSERT INTO RoomInfo VALUES(roomPK_auto_sq.NEXTVAL,'103-22-123469','이그제큐티브 스위트',500000,'호텔','강원도 강릉 강동면 율곡로 1441');</t>
  </si>
  <si>
    <t>INSERT INTO RoomInfo VALUES(roomPK_auto_sq.NEXTVAL,'103-22-123469','프리지덴셜 스위트',400000,'호텔','강원도 강릉 강동면 율곡로 1441');</t>
  </si>
  <si>
    <t>INSERT INTO RoomInfo VALUES(roomPK_auto_sq.NEXTVAL,'103-22-123469','그랜드 스위트',1400000,'호텔','강원도 강릉 강동면 율곡로 1441');</t>
  </si>
  <si>
    <t>INSERT INTO RoomInfo VALUES(roomPK_auto_sq.NEXTVAL,'103-22-123470','디럭스 레이크뷰 더블룸',80000,'호텔','강원도 강릉시 해안로 476');</t>
  </si>
  <si>
    <t>INSERT INTO RoomInfo VALUES(roomPK_auto_sq.NEXTVAL,'103-22-123470','이그제큐티브 오션뷰 더블룸',120000,'호텔','강원도 강릉시 해안로 476');</t>
  </si>
  <si>
    <t>INSERT INTO RoomInfo VALUES(roomPK_auto_sq.NEXTVAL,'103-22-123470','커넥팅룸',300000,'호텔','강원도 강릉시 해안로 476');</t>
  </si>
  <si>
    <t>INSERT INTO RoomInfo VALUES(roomPK_auto_sq.NEXTVAL,'103-22-123470','엠배서더 레이크 뷰 스위트',835000,'호텔','강원도 강릉시 해안로 476');</t>
  </si>
  <si>
    <t>INSERT INTO RoomInfo VALUES(roomPK_auto_sq.NEXTVAL,'103-22-123470','엠배서더 스위트 룸',421000,'호텔','강원도 강릉시 해안로 476');</t>
  </si>
  <si>
    <t>INSERT INTO RoomInfo VALUES(roomPK_auto_sq.NEXTVAL,'103-22-123470','로얄 스위트',495000,'호텔','강원도 강릉시 해안로 476');</t>
  </si>
  <si>
    <t>INSERT INTO RoomInfo VALUES(roomPK_auto_sq.NEXTVAL,'103-22-123471','디럭스트윈',150000,'호텔','경기도 가평 청평면 북한강로 2245');</t>
  </si>
  <si>
    <t>INSERT INTO RoomInfo VALUES(roomPK_auto_sq.NEXTVAL,'103-22-123471','프리미어 듀플렉스룸',180000,'호텔','경기도 가평 청평면 북한강로 2245');</t>
  </si>
  <si>
    <t>INSERT INTO RoomInfo VALUES(roomPK_auto_sq.NEXTVAL,'103-22-123471','디럭스 할로윈',218182,'호텔','경기도 가평 청평면 북한강로 2245');</t>
  </si>
  <si>
    <t>INSERT INTO RoomInfo VALUES(roomPK_auto_sq.NEXTVAL,'103-22-123471','코너 스위트',409091,'호텔','경기도 가평 청평면 북한강로 2245');</t>
  </si>
  <si>
    <t>INSERT INTO RoomInfo VALUES(roomPK_auto_sq.NEXTVAL,'103-22-123471','로얄 스위트',500000,'호텔','경기도 가평 청평면 북한강로 2245');</t>
  </si>
  <si>
    <t>INSERT INTO RoomInfo VALUES(roomPK_auto_sq.NEXTVAL,'103-22-123472','컴포터블 룸 도심 전망',190000,'호텔','경기도 수원특례시 영통구 광교호수공원로 320');</t>
  </si>
  <si>
    <t>INSERT INTO RoomInfo VALUES(roomPK_auto_sq.NEXTVAL,'103-22-123472','컴포터블 룸 더블',190000,'호텔','경기도 수원특례시 영통구 광교호수공원로 320');</t>
  </si>
  <si>
    <t>INSERT INTO RoomInfo VALUES(roomPK_auto_sq.NEXTVAL,'103-22-123472','컴포터블 도시전망 룸',190000,'호텔','경기도 수원특례시 영통구 광교호수공원로 320');</t>
  </si>
  <si>
    <t>INSERT INTO RoomInfo VALUES(roomPK_auto_sq.NEXTVAL,'103-22-123472','이그제큐티브 라운지 컴보터블 더블 룸',240000,'호텔','경기도 수원특례시 영통구 광교호수공원로 320');</t>
  </si>
  <si>
    <t>INSERT INTO RoomInfo VALUES(roomPK_auto_sq.NEXTVAL,'103-22-123472','프리미어 스위트',310000,'호텔','경기도 수원특례시 영통구 광교호수공원로 320');</t>
  </si>
  <si>
    <t>INSERT INTO RoomInfo VALUES(roomPK_auto_sq.NEXTVAL,'103-22-123472','디럭스 스위트',430000,'호텔','경기도 수원특례시 영통구 광교호수공원로 320');</t>
  </si>
  <si>
    <t>INSERT INTO RoomInfo VALUES(roomPK_auto_sq.NEXTVAL,'103-22-123473','게스트룸 킹 배드',210000,'호텔','경기도 성남시 분당구 판교역로192번길 12');</t>
  </si>
  <si>
    <t>INSERT INTO RoomInfo VALUES(roomPK_auto_sq.NEXTVAL,'103-22-123473','게스트룸 트윈 싱글 배드',210000,'호텔','경기도 성남시 분당구 판교역로192번길 12');</t>
  </si>
  <si>
    <t>INSERT INTO RoomInfo VALUES(roomPK_auto_sq.NEXTVAL,'103-22-123473','게스트룸 킹배드 공원 전망 ',240000,'호텔','경기도 성남시 분당구 판교역로192번길 12');</t>
  </si>
  <si>
    <t>INSERT INTO RoomInfo VALUES(roomPK_auto_sq.NEXTVAL,'103-22-123473','게스트룸 공원전망',240000,'호텔','경기도 성남시 분당구 판교역로192번길 12');</t>
  </si>
  <si>
    <t>INSERT INTO RoomInfo VALUES(roomPK_auto_sq.NEXTVAL,'103-22-123473','라지룸 ',260000,'호텔','경기도 성남시 분당구 판교역로192번길 12');</t>
  </si>
  <si>
    <t>INSERT INTO RoomInfo VALUES(roomPK_auto_sq.NEXTVAL,'103-22-123473','배드룸 주니어 스위트',390000,'호텔','경기도 성남시 분당구 판교역로192번길 12');</t>
  </si>
  <si>
    <t>INSERT INTO RoomInfo VALUES(roomPK_auto_sq.NEXTVAL,'103-22-123473','라지룸 공원 전망',280000,'호텔','경기도 성남시 분당구 판교역로192번길 12');</t>
  </si>
  <si>
    <t>INSERT INTO RoomInfo VALUES(roomPK_auto_sq.NEXTVAL,'103-22-123473','라지룸 싱글 더블 배드',280000,'호텔','경기도 성남시 분당구 판교역로192번길 12');</t>
  </si>
  <si>
    <t>INSERT INTO RoomInfo VALUES(roomPK_auto_sq.NEXTVAL,'103-22-123473','주니어 스위트 킹배드',390000,'호텔','경기도 성남시 분당구 판교역로192번길 12');</t>
  </si>
  <si>
    <t>INSERT INTO RoomInfo VALUES(roomPK_auto_sq.NEXTVAL,'103-22-123474','비즈니스 디럭스 시티뷰 룸',220000,'호텔','경기도 성남시 분당구 판교역로146번길 2');</t>
  </si>
  <si>
    <t>INSERT INTO RoomInfo VALUES(roomPK_auto_sq.NEXTVAL,'103-22-123474','비지니스 디럭스 시티뷰 패밀리룸',220000,'호텔','경기도 성남시 분당구 판교역로146번길 2');</t>
  </si>
  <si>
    <t>INSERT INTO RoomInfo VALUES(roomPK_auto_sq.NEXTVAL,'103-22-123474','프리미어 디럭스 시티뷰 패밀리룸',300000,'호텔','경기도 성남시 분당구 판교역로146번길 2');</t>
  </si>
  <si>
    <t>INSERT INTO RoomInfo VALUES(roomPK_auto_sq.NEXTVAL,'103-22-123474','프리미어 디럭스 시티뷰 룸',300000,'호텔','경기도 성남시 분당구 판교역로146번길 2');</t>
  </si>
  <si>
    <t>INSERT INTO RoomInfo VALUES(roomPK_auto_sq.NEXTVAL,'103-22-123474','밸리 스위트 룸',600000,'호텔','경기도 성남시 분당구 판교역로146번길 2');</t>
  </si>
  <si>
    <t>WBS작성</t>
    <phoneticPr fontId="1" type="noConversion"/>
  </si>
  <si>
    <t>Github 커밋 및 테스트</t>
    <phoneticPr fontId="1" type="noConversion"/>
  </si>
  <si>
    <t>2.2.2 뷰 프로시저 구현</t>
    <phoneticPr fontId="1" type="noConversion"/>
  </si>
  <si>
    <t>2.2.3 커서 구현</t>
    <phoneticPr fontId="1" type="noConversion"/>
  </si>
  <si>
    <t>2.2.4 DB구현기능 테스트</t>
    <phoneticPr fontId="1" type="noConversion"/>
  </si>
  <si>
    <t>2.3.1 GUI설계</t>
    <phoneticPr fontId="1" type="noConversion"/>
  </si>
  <si>
    <t>2.3.2 GUI와 프로토타입 연결</t>
    <phoneticPr fontId="1" type="noConversion"/>
  </si>
  <si>
    <t>2.3.3 기능테스트</t>
    <phoneticPr fontId="1" type="noConversion"/>
  </si>
  <si>
    <t>2.3.5 기능테스트</t>
    <phoneticPr fontId="1" type="noConversion"/>
  </si>
  <si>
    <t>1. 요구사항 분석</t>
    <phoneticPr fontId="1" type="noConversion"/>
  </si>
  <si>
    <t>2. 기능별 API설계</t>
    <phoneticPr fontId="1" type="noConversion"/>
  </si>
  <si>
    <t>2.1.1 ERD작성</t>
    <phoneticPr fontId="1" type="noConversion"/>
  </si>
  <si>
    <t>2.1.2 테이블 명세 작성</t>
    <phoneticPr fontId="1" type="noConversion"/>
  </si>
  <si>
    <t>2.1.3 클래스 명세 작성</t>
    <phoneticPr fontId="1" type="noConversion"/>
  </si>
  <si>
    <t>2.1.4 테이블 설계</t>
    <phoneticPr fontId="1" type="noConversion"/>
  </si>
  <si>
    <t>2.1.5 Lodging 데이터 , RoomInfo 데이터 Insert</t>
    <phoneticPr fontId="1" type="noConversion"/>
  </si>
  <si>
    <t>2.1 DB기능구현</t>
    <phoneticPr fontId="1" type="noConversion"/>
  </si>
  <si>
    <t>2.0 DB설계</t>
    <phoneticPr fontId="1" type="noConversion"/>
  </si>
  <si>
    <t>2.2.1 DAO 진행시 DB와 데이터전달 구성</t>
    <phoneticPr fontId="1" type="noConversion"/>
  </si>
  <si>
    <t>2.3 JAVA 기능 설계</t>
    <phoneticPr fontId="1" type="noConversion"/>
  </si>
  <si>
    <t>2.3.0 프로토타입 구현</t>
    <phoneticPr fontId="1" type="noConversion"/>
  </si>
  <si>
    <t>2.3.4 소스 최적화</t>
    <phoneticPr fontId="1" type="noConversion"/>
  </si>
  <si>
    <t>3. 통합 테스트</t>
    <phoneticPr fontId="1" type="noConversion"/>
  </si>
  <si>
    <t>4. PPT작성</t>
    <phoneticPr fontId="1" type="noConversion"/>
  </si>
  <si>
    <t>1.1 시나리오 정의</t>
    <phoneticPr fontId="1" type="noConversion"/>
  </si>
  <si>
    <t>1.2 유스케이스 작성</t>
    <phoneticPr fontId="1" type="noConversion"/>
  </si>
  <si>
    <t>TASK</t>
    <phoneticPr fontId="1" type="noConversion"/>
  </si>
  <si>
    <t>Duration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</si>
  <si>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</si>
  <si>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</si>
  <si>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</si>
  <si>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</si>
  <si>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</si>
  <si>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</si>
  <si>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</si>
  <si>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1d</t>
    <phoneticPr fontId="1" type="noConversion"/>
  </si>
  <si>
    <t>2d</t>
    <phoneticPr fontId="1" type="noConversion"/>
  </si>
  <si>
    <t>3d</t>
    <phoneticPr fontId="1" type="noConversion"/>
  </si>
  <si>
    <t>Revervation Project _ WBS</t>
    <phoneticPr fontId="1" type="noConversion"/>
  </si>
  <si>
    <t>background.add(searchBtn);</t>
  </si>
  <si>
    <t>background.add(myInfoBtn);</t>
  </si>
  <si>
    <t>background.add(camping);</t>
  </si>
  <si>
    <t>background.add(pention);</t>
  </si>
  <si>
    <t>background.add(hotel);</t>
  </si>
  <si>
    <t>background.add(localComboBox);</t>
  </si>
  <si>
    <t>background.add(localLabel);</t>
  </si>
  <si>
    <t>background.add(checkInLabel);</t>
  </si>
  <si>
    <t>background.add(checkOutLabel);</t>
  </si>
  <si>
    <t>background.add(checkInCalendar);</t>
  </si>
  <si>
    <t>background.add(checkOutCalendar);</t>
  </si>
  <si>
    <t>CREATE SEQUENCE booking_auto_sq</t>
    <phoneticPr fontId="1" type="noConversion"/>
  </si>
  <si>
    <t>ㄱ</t>
    <phoneticPr fontId="1" type="noConversion"/>
  </si>
  <si>
    <t>1일</t>
    <phoneticPr fontId="1" type="noConversion"/>
  </si>
  <si>
    <t>예약 진행 시 비밀번호를 설정하며 비밀번호는 몇가지 규칙을 정의해야한다</t>
    <phoneticPr fontId="1" type="noConversion"/>
  </si>
  <si>
    <t>팝업을 닫으면 처음 숙소를 조회했던 화면으로 바뀌어야한다</t>
    <phoneticPr fontId="1" type="noConversion"/>
  </si>
  <si>
    <t>내 예약 조회시 예약자의 이름/전화번호/비밀번호를 입력하여 조회를 진행한다</t>
    <phoneticPr fontId="1" type="noConversion"/>
  </si>
  <si>
    <t>숙소 조회 시 업종은 1개만 선택 가능하며 중복선택은 불가하다</t>
    <phoneticPr fontId="1" type="noConversion"/>
  </si>
  <si>
    <t>숙소 조회 시 한개라도 누락된 선택사항이 있다면 조회는 불가하다</t>
    <phoneticPr fontId="1" type="noConversion"/>
  </si>
  <si>
    <t>업체 상세 설명란은 사용자가 수정 하거나 텍스트를 입력할 수 없다</t>
    <phoneticPr fontId="1" type="noConversion"/>
  </si>
  <si>
    <t>예약 완료 시 예약 번호가 팝업으로 보여진다</t>
    <phoneticPr fontId="1" type="noConversion"/>
  </si>
  <si>
    <t>예약한 정보를 보여질 때 엔 리스트 형식으로 보여지게 한다</t>
    <phoneticPr fontId="1" type="noConversion"/>
  </si>
  <si>
    <t>예약 취소 시 예약자의 정보조회가 필요하다</t>
    <phoneticPr fontId="1" type="noConversion"/>
  </si>
  <si>
    <t>예약을 할때와 예약을 취소할때 입력될 데이터가 부족할때 모두 오류 팝업이 나타나도록 한다</t>
    <phoneticPr fontId="1" type="noConversion"/>
  </si>
  <si>
    <t>### 숙박업체 예약 시스템 개발 요구사항</t>
  </si>
  <si>
    <t>#### 1. 업체 조회 기능</t>
  </si>
  <si>
    <t>#### 2. 업종 선택 규칙</t>
  </si>
  <si>
    <t>- 업종은 1개만 선택 가능하며 중복 선택은 허용되지 않는다.</t>
  </si>
  <si>
    <t>#### 3. 선택사항 누락 방지</t>
  </si>
  <si>
    <t>- 조회 시 모든 선택사항(종류, 지역, 날짜)이 누락되면 조회가 불가능하다.</t>
  </si>
  <si>
    <t>#### 4. 업체 정보 출력</t>
  </si>
  <si>
    <t>#### 5. 업체 상세 설명</t>
  </si>
  <si>
    <t>#### 6. 예약 진행 시 비밀번호 설정</t>
  </si>
  <si>
    <t>#### 7. 예약 완료 시 예약 번호</t>
  </si>
  <si>
    <t>#### 8. 팝업 닫기 기능</t>
  </si>
  <si>
    <t>#### 9. 내 예약 조회</t>
  </si>
  <si>
    <t>#### 10. 예약 정보 리스트</t>
  </si>
  <si>
    <t>#### 11. 예약 취소 시 예약자 정보조회</t>
  </si>
  <si>
    <t>#### 12. 입력 데이터 부족 시 오류 팝업</t>
  </si>
  <si>
    <t>이러한 요구사항을 충족하는 숙박업체 예약 시스템을 개발하면 사용자가 효율적으로 숙박업체를 조회하고 예약할 수 있습니다.</t>
  </si>
  <si>
    <t>1. 업체 조회 기능</t>
    <phoneticPr fontId="1" type="noConversion"/>
  </si>
  <si>
    <t>사용자는 숙박 업체의 종류 / 지역 / 날짜를 선택하여 조회할 수 있다</t>
    <phoneticPr fontId="1" type="noConversion"/>
  </si>
  <si>
    <t>선택한 조건에 맞는 숙박업체 정보가 출력된다</t>
    <phoneticPr fontId="1" type="noConversion"/>
  </si>
  <si>
    <t>2. 업종 선택 규칙</t>
    <phoneticPr fontId="1" type="noConversion"/>
  </si>
  <si>
    <t>업종은 1개만 선택 가능하며 중복 선택은 허용하지 않는다</t>
    <phoneticPr fontId="1" type="noConversion"/>
  </si>
  <si>
    <t>3. 선택사항 누락 방지</t>
    <phoneticPr fontId="1" type="noConversion"/>
  </si>
  <si>
    <t>조회 시 모든 선택사항(종류/지역/날짜)이 누락시 조회가 불가하다</t>
    <phoneticPr fontId="1" type="noConversion"/>
  </si>
  <si>
    <t>4. 업체 정보 출력</t>
    <phoneticPr fontId="1" type="noConversion"/>
  </si>
  <si>
    <t>5. 업체 상세 설명</t>
    <phoneticPr fontId="1" type="noConversion"/>
  </si>
  <si>
    <t>사용자는 업체 상세 설명을 수정하거나 추가 , 텍스트 입력을 할 수 없다</t>
    <phoneticPr fontId="1" type="noConversion"/>
  </si>
  <si>
    <t>6. 예약 진행 시 비밀번호 설정</t>
    <phoneticPr fontId="1" type="noConversion"/>
  </si>
  <si>
    <t>예약 시 비밀번호를 설정하며 특정 규칙을 따라야 한다</t>
    <phoneticPr fontId="1" type="noConversion"/>
  </si>
  <si>
    <t>7. 예약 완료 시 예약 번호</t>
    <phoneticPr fontId="1" type="noConversion"/>
  </si>
  <si>
    <t>예약 완료되면 예약 번호가 팝업으로 표시된다</t>
    <phoneticPr fontId="1" type="noConversion"/>
  </si>
  <si>
    <t>8. 팝업 닫기 기능</t>
    <phoneticPr fontId="1" type="noConversion"/>
  </si>
  <si>
    <t>팝업을 닫으면 처음 숙소 조회 화면으로 돌아간다</t>
    <phoneticPr fontId="1" type="noConversion"/>
  </si>
  <si>
    <t>9. 내 예약 조회</t>
    <phoneticPr fontId="1" type="noConversion"/>
  </si>
  <si>
    <t>예약자의 이름/전화번호/비밀번호를 입력하여 예약을 조회한다</t>
    <phoneticPr fontId="1" type="noConversion"/>
  </si>
  <si>
    <t>10. 예약 정보 리스트</t>
    <phoneticPr fontId="1" type="noConversion"/>
  </si>
  <si>
    <t>예약한 정보는 리스트 형식으로 보여진다</t>
    <phoneticPr fontId="1" type="noConversion"/>
  </si>
  <si>
    <t>11. 예약 취소 시 예약자 정보 조회</t>
    <phoneticPr fontId="1" type="noConversion"/>
  </si>
  <si>
    <t>예약을 취소할 때 예약자의 정보를 조회한다</t>
    <phoneticPr fontId="1" type="noConversion"/>
  </si>
  <si>
    <t>12. 입력 데이터 부족시 오류 팝업</t>
    <phoneticPr fontId="1" type="noConversion"/>
  </si>
  <si>
    <t>업체 이름과 지역이 리스트 형식으로 나오며</t>
    <phoneticPr fontId="1" type="noConversion"/>
  </si>
  <si>
    <t>리스트 클릭 시 업체 사진과 방 정보 사진이 나타난다</t>
    <phoneticPr fontId="1" type="noConversion"/>
  </si>
  <si>
    <t>예약 및 예약 취소 시 입력되어야 할 데이터가 부족할 경우</t>
    <phoneticPr fontId="1" type="noConversion"/>
  </si>
  <si>
    <t xml:space="preserve"> 오류 팝업이 나타나도록 한다</t>
  </si>
  <si>
    <t>결과</t>
    <phoneticPr fontId="1" type="noConversion"/>
  </si>
  <si>
    <t>구현완료</t>
    <phoneticPr fontId="1" type="noConversion"/>
  </si>
  <si>
    <t>담당자</t>
    <phoneticPr fontId="1" type="noConversion"/>
  </si>
  <si>
    <t>GUI에 대한 프레임 교체 구현시 State패턴 적용</t>
    <phoneticPr fontId="1" type="noConversion"/>
  </si>
  <si>
    <t>이벤트 처리를 위한 리스너 처리시 Observer패턴 적용</t>
    <phoneticPr fontId="1" type="noConversion"/>
  </si>
  <si>
    <t>자원을 보호하기 위한 Singletone 패턴 적용</t>
    <phoneticPr fontId="1" type="noConversion"/>
  </si>
  <si>
    <t>부분완료</t>
    <phoneticPr fontId="1" type="noConversion"/>
  </si>
  <si>
    <t xml:space="preserve"> 3-1</t>
    <phoneticPr fontId="1" type="noConversion"/>
  </si>
  <si>
    <t xml:space="preserve"> 3-2</t>
    <phoneticPr fontId="1" type="noConversion"/>
  </si>
  <si>
    <t xml:space="preserve"> 3-3</t>
    <phoneticPr fontId="1" type="noConversion"/>
  </si>
  <si>
    <t>보류 사유 : 리스너 처리시 오류 발생으로 보안 예정</t>
    <phoneticPr fontId="1" type="noConversion"/>
  </si>
  <si>
    <t>구현기능 목록</t>
    <phoneticPr fontId="1" type="noConversion"/>
  </si>
  <si>
    <t>데이터베이스 기능구현 시 쿼리문 작성 단순화를 위해 역 정규화나 프로시저기능을 구현한다</t>
    <phoneticPr fontId="1" type="noConversion"/>
  </si>
  <si>
    <t xml:space="preserve"> 1-1</t>
    <phoneticPr fontId="1" type="noConversion"/>
  </si>
  <si>
    <t xml:space="preserve"> 1-2</t>
    <phoneticPr fontId="1" type="noConversion"/>
  </si>
  <si>
    <t>예약 완료 시 bookingList 테이블과 Customer 테이블에 동시처리되는 프로시저구현</t>
    <phoneticPr fontId="1" type="noConversion"/>
  </si>
  <si>
    <t xml:space="preserve"> 1-3</t>
    <phoneticPr fontId="1" type="noConversion"/>
  </si>
  <si>
    <t>프로시저 구현 시 결과 값 내용을 Java로 전달 할 수 있도록 커서를 이용하여 구현한다</t>
    <phoneticPr fontId="1" type="noConversion"/>
  </si>
  <si>
    <t xml:space="preserve"> 1-4</t>
    <phoneticPr fontId="1" type="noConversion"/>
  </si>
  <si>
    <t>Java 코드 작성 시 가독성과 코드 중복성을 줄이기 위해 디자인 패턴을 적용한다</t>
    <phoneticPr fontId="1" type="noConversion"/>
  </si>
  <si>
    <t>사용자가 원하는 조건이 매번 달라짐으로 해당 조건이 변하더라도 똑같은 처리로직을 갖는 재사용성과 모듈성을 고려한 프로시저 구현</t>
    <phoneticPr fontId="1" type="noConversion"/>
  </si>
  <si>
    <t>사용자가 조작시 프로시저를 통해 호출되는 내용으로 직접적으로 테이블에 접근하지 못하도록 구현한다</t>
    <phoneticPr fontId="1" type="noConversion"/>
  </si>
  <si>
    <t xml:space="preserve"> 2-1</t>
    <phoneticPr fontId="1" type="noConversion"/>
  </si>
  <si>
    <t xml:space="preserve"> 2-2</t>
    <phoneticPr fontId="1" type="noConversion"/>
  </si>
  <si>
    <t xml:space="preserve"> 2-3</t>
    <phoneticPr fontId="1" type="noConversion"/>
  </si>
  <si>
    <t>GUI 구성 및 이벤트 처리 구현</t>
    <phoneticPr fontId="1" type="noConversion"/>
  </si>
  <si>
    <t>GUI 진행 시 인터페이스와 상속을 적극 이용하여 불필요한 자원낭비나 로직을 단순화한다</t>
    <phoneticPr fontId="1" type="noConversion"/>
  </si>
  <si>
    <t>보류</t>
    <phoneticPr fontId="1" type="noConversion"/>
  </si>
  <si>
    <t>사유 : 모든 이벤트 처리에 관련한 내용을 리스너 클래스 1개로 통합하다보니 오류발생 / 보안예정</t>
    <phoneticPr fontId="1" type="noConversion"/>
  </si>
  <si>
    <t>사용자가 조건을 입력해야 하는 경우 모든 필드에 정보가 있어야 다음 단계로 처리되며 아닐 경우 오류메세지를 나타내어 알려준다</t>
    <phoneticPr fontId="1" type="noConversion"/>
  </si>
  <si>
    <t>모든 처리시 초기 화면은 시작 화면이 아닌 숙소 검색창으로 이동하게 한다</t>
    <phoneticPr fontId="1" type="noConversion"/>
  </si>
  <si>
    <t>보안예정</t>
    <phoneticPr fontId="1" type="noConversion"/>
  </si>
  <si>
    <t>사유 : 현재 해당 초기화면으로 이동은 되나 이벤트 처리에 문제가 생겨 다음 버튼에 대한 이벤트 처리로직이 구동되지않음, 보안예정</t>
    <phoneticPr fontId="1" type="noConversion"/>
  </si>
  <si>
    <t>김가율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</si>
</sst>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@\'\,\'"/>
    <numFmt numFmtId="177" formatCode="@\'"/>
    <numFmt numFmtId="178" formatCode="@\'\,"/>
    <numFmt numFmtId="179" formatCode="\,\'@\'\,\'"/>
    <numFmt numFmtId="180" formatCode="\'\,\'@\'"/>
    <numFmt numFmtId="181" formatCode="\'@"/>
    <numFmt numFmtId="182" formatCode="\,\'@\'"/>
    <numFmt numFmtId="183" formatCode="@\'\)"/>
    <numFmt numFmtId="184" formatCode="\,\'@\'\,"/>
    <numFmt numFmtId="185" formatCode="m&quot;/&quot;d;@"/>
    <numFmt numFmtId="186" formatCode="m&quot;월&quot;\ d&quot;일&quot;"/>
  </numFmts>
  <fonts count="27">
    <font>
      <sz val="14"/>
      <color theme="1"/>
      <name val="MalgunGothic"/>
      <family val="2"/>
      <charset val="129"/>
    </font>
    <font>
      <sz val="8"/>
      <name val="MalgunGothic"/>
      <family val="2"/>
      <charset val="129"/>
    </font>
    <font>
      <sz val="18"/>
      <color theme="1"/>
      <name val="배달의민족 한나체 Air OTF"/>
      <family val="2"/>
      <charset val="129"/>
    </font>
    <font>
      <b/>
      <sz val="48"/>
      <color theme="1"/>
      <name val="배달의민족 한나체 Air OTF"/>
      <family val="2"/>
      <charset val="129"/>
    </font>
    <font>
      <sz val="14"/>
      <color rgb="FF000000"/>
      <name val="MalgunGothic"/>
      <charset val="129"/>
    </font>
    <font>
      <sz val="18"/>
      <color rgb="FF000000"/>
      <name val="배달의민족 한나체 Air OTF"/>
      <family val="2"/>
      <charset val="129"/>
    </font>
    <font>
      <sz val="14"/>
      <color theme="1"/>
      <name val="맑은 고딕"/>
      <family val="2"/>
      <charset val="129"/>
      <scheme val="major"/>
    </font>
    <font>
      <sz val="18"/>
      <color theme="1"/>
      <name val="맑은 고딕"/>
      <family val="2"/>
      <charset val="129"/>
      <scheme val="major"/>
    </font>
    <font>
      <sz val="13.5"/>
      <color theme="1"/>
      <name val="Helvetica Neue"/>
      <family val="2"/>
    </font>
    <font>
      <sz val="18"/>
      <color rgb="FFAAAAAA"/>
      <name val="Menlo"/>
      <family val="2"/>
    </font>
    <font>
      <sz val="18"/>
      <color rgb="FF669768"/>
      <name val="Menlo"/>
      <family val="2"/>
    </font>
    <font>
      <b/>
      <sz val="18"/>
      <color rgb="FF739ECA"/>
      <name val="Menlo"/>
      <family val="2"/>
    </font>
    <font>
      <sz val="18"/>
      <color rgb="FF9E9E9E"/>
      <name val="Menlo"/>
      <family val="2"/>
    </font>
    <font>
      <b/>
      <sz val="18"/>
      <color rgb="FFC1AA6C"/>
      <name val="Menlo"/>
      <family val="2"/>
    </font>
    <font>
      <sz val="18"/>
      <color rgb="FFCAC580"/>
      <name val="Menlo"/>
      <family val="2"/>
    </font>
    <font>
      <sz val="18"/>
      <color rgb="FFC0C0C0"/>
      <name val="Menlo"/>
      <family val="2"/>
    </font>
    <font>
      <sz val="18"/>
      <color rgb="FFEECC64"/>
      <name val="Menlo"/>
      <family val="2"/>
    </font>
    <font>
      <u/>
      <sz val="18"/>
      <color rgb="FF669768"/>
      <name val="Menlo"/>
      <family val="2"/>
    </font>
    <font>
      <b/>
      <sz val="14"/>
      <color rgb="FF3F3F3F"/>
      <name val="MalgunGothic"/>
      <family val="2"/>
      <charset val="129"/>
    </font>
    <font>
      <b/>
      <sz val="48"/>
      <color theme="1"/>
      <name val="맑은 고딕"/>
      <family val="2"/>
      <charset val="129"/>
    </font>
    <font>
      <sz val="18"/>
      <color theme="1"/>
      <name val="맑은 고딕"/>
      <family val="2"/>
      <charset val="129"/>
    </font>
    <font>
      <sz val="15"/>
      <color theme="1"/>
      <name val="맑은 고딕"/>
      <family val="2"/>
      <charset val="129"/>
    </font>
    <font>
      <sz val="16"/>
      <color theme="1"/>
      <name val="맑은 고딕"/>
      <family val="2"/>
      <charset val="129"/>
    </font>
    <font>
      <b/>
      <sz val="36"/>
      <color rgb="FF3F3F3F"/>
      <name val="MalgunGothic"/>
      <family val="2"/>
      <charset val="129"/>
    </font>
    <font>
      <b/>
      <sz val="14"/>
      <color rgb="FF3F3F3F"/>
      <name val="MalgunGothic"/>
      <charset val="129"/>
    </font>
    <font>
      <sz val="12"/>
      <color rgb="FFDCDCAA"/>
      <name val="MesloLGS NF"/>
    </font>
    <font>
      <b/>
      <sz val="14"/>
      <color theme="1"/>
      <name val="MalgunGothic"/>
      <charset val="129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E1F2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>
      <alignment vertical="center"/>
    </xf>
    <xf numFmtId="0" fontId="18" fillId="12" borderId="15" applyNumberFormat="0" applyAlignment="0" applyProtection="0">
      <alignment vertical="center"/>
    </xf>
  </cellStyleXfs>
  <cellXfs count="12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quotePrefix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7" borderId="0" xfId="0" applyFill="1">
      <alignment vertical="center"/>
    </xf>
    <xf numFmtId="0" fontId="0" fillId="6" borderId="10" xfId="0" applyFill="1" applyBorder="1">
      <alignment vertical="center"/>
    </xf>
    <xf numFmtId="0" fontId="0" fillId="6" borderId="8" xfId="0" applyFill="1" applyBorder="1">
      <alignment vertical="center"/>
    </xf>
    <xf numFmtId="0" fontId="0" fillId="0" borderId="12" xfId="0" applyBorder="1">
      <alignment vertical="center"/>
    </xf>
    <xf numFmtId="0" fontId="0" fillId="7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3" xfId="0" applyBorder="1">
      <alignment vertical="center"/>
    </xf>
    <xf numFmtId="0" fontId="0" fillId="0" borderId="9" xfId="0" applyBorder="1">
      <alignment vertical="center"/>
    </xf>
    <xf numFmtId="0" fontId="0" fillId="6" borderId="0" xfId="0" applyFill="1">
      <alignment vertical="center"/>
    </xf>
    <xf numFmtId="0" fontId="0" fillId="6" borderId="14" xfId="0" applyFill="1" applyBorder="1">
      <alignment vertical="center"/>
    </xf>
    <xf numFmtId="0" fontId="0" fillId="6" borderId="11" xfId="0" applyFill="1" applyBorder="1">
      <alignment vertical="center"/>
    </xf>
    <xf numFmtId="0" fontId="0" fillId="6" borderId="12" xfId="0" applyFill="1" applyBorder="1">
      <alignment vertical="center"/>
    </xf>
    <xf numFmtId="0" fontId="0" fillId="6" borderId="1" xfId="0" applyFill="1" applyBorder="1">
      <alignment vertical="center"/>
    </xf>
    <xf numFmtId="0" fontId="0" fillId="6" borderId="13" xfId="0" applyFill="1" applyBorder="1">
      <alignment vertical="center"/>
    </xf>
    <xf numFmtId="0" fontId="6" fillId="0" borderId="0" xfId="0" applyFont="1">
      <alignment vertical="center"/>
    </xf>
    <xf numFmtId="179" fontId="6" fillId="0" borderId="0" xfId="0" applyNumberFormat="1" applyFont="1">
      <alignment vertical="center"/>
    </xf>
    <xf numFmtId="178" fontId="6" fillId="0" borderId="0" xfId="0" applyNumberFormat="1" applyFont="1">
      <alignment vertical="center"/>
    </xf>
    <xf numFmtId="177" fontId="6" fillId="0" borderId="0" xfId="0" applyNumberFormat="1" applyFont="1">
      <alignment vertical="center"/>
    </xf>
    <xf numFmtId="0" fontId="6" fillId="0" borderId="0" xfId="0" quotePrefix="1" applyFont="1">
      <alignment vertical="center"/>
    </xf>
    <xf numFmtId="0" fontId="6" fillId="9" borderId="0" xfId="0" applyFont="1" applyFill="1">
      <alignment vertical="center"/>
    </xf>
    <xf numFmtId="179" fontId="6" fillId="9" borderId="0" xfId="0" applyNumberFormat="1" applyFont="1" applyFill="1">
      <alignment vertical="center"/>
    </xf>
    <xf numFmtId="178" fontId="6" fillId="9" borderId="0" xfId="0" applyNumberFormat="1" applyFont="1" applyFill="1">
      <alignment vertical="center"/>
    </xf>
    <xf numFmtId="177" fontId="6" fillId="9" borderId="0" xfId="0" applyNumberFormat="1" applyFont="1" applyFill="1">
      <alignment vertical="center"/>
    </xf>
    <xf numFmtId="0" fontId="7" fillId="0" borderId="0" xfId="0" applyFont="1">
      <alignment vertical="center"/>
    </xf>
    <xf numFmtId="176" fontId="6" fillId="0" borderId="0" xfId="0" applyNumberFormat="1" applyFont="1">
      <alignment vertical="center"/>
    </xf>
    <xf numFmtId="181" fontId="6" fillId="0" borderId="0" xfId="0" quotePrefix="1" applyNumberFormat="1" applyFont="1">
      <alignment vertical="center"/>
    </xf>
    <xf numFmtId="180" fontId="6" fillId="0" borderId="0" xfId="0" applyNumberFormat="1" applyFont="1">
      <alignment vertical="center"/>
    </xf>
    <xf numFmtId="182" fontId="6" fillId="0" borderId="0" xfId="0" applyNumberFormat="1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0" xfId="0" applyFont="1">
      <alignment vertical="center"/>
    </xf>
    <xf numFmtId="1" fontId="6" fillId="0" borderId="0" xfId="0" applyNumberFormat="1" applyFont="1">
      <alignment vertical="center"/>
    </xf>
    <xf numFmtId="1" fontId="6" fillId="9" borderId="0" xfId="0" applyNumberFormat="1" applyFont="1" applyFill="1">
      <alignment vertical="center"/>
    </xf>
    <xf numFmtId="183" fontId="6" fillId="0" borderId="0" xfId="0" applyNumberFormat="1" applyFont="1">
      <alignment vertical="center"/>
    </xf>
    <xf numFmtId="184" fontId="6" fillId="0" borderId="0" xfId="0" applyNumberFormat="1" applyFont="1">
      <alignment vertical="center"/>
    </xf>
    <xf numFmtId="177" fontId="11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20" fillId="2" borderId="0" xfId="0" applyFont="1" applyFill="1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left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center"/>
    </xf>
    <xf numFmtId="0" fontId="22" fillId="5" borderId="5" xfId="0" applyFont="1" applyFill="1" applyBorder="1">
      <alignment vertical="center"/>
    </xf>
    <xf numFmtId="0" fontId="22" fillId="2" borderId="0" xfId="0" applyFont="1" applyFill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22" fillId="5" borderId="6" xfId="0" applyFont="1" applyFill="1" applyBorder="1">
      <alignment vertical="center"/>
    </xf>
    <xf numFmtId="0" fontId="22" fillId="2" borderId="9" xfId="0" applyFont="1" applyFill="1" applyBorder="1">
      <alignment vertical="center"/>
    </xf>
    <xf numFmtId="0" fontId="22" fillId="5" borderId="4" xfId="0" applyFont="1" applyFill="1" applyBorder="1">
      <alignment vertical="center"/>
    </xf>
    <xf numFmtId="0" fontId="21" fillId="2" borderId="0" xfId="0" applyFont="1" applyFill="1" applyAlignment="1">
      <alignment horizontal="left" vertical="center"/>
    </xf>
    <xf numFmtId="0" fontId="21" fillId="4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left" vertical="center"/>
    </xf>
    <xf numFmtId="0" fontId="20" fillId="4" borderId="0" xfId="0" applyFont="1" applyFill="1" applyAlignment="1">
      <alignment horizontal="center" vertical="center"/>
    </xf>
    <xf numFmtId="0" fontId="20" fillId="6" borderId="6" xfId="0" applyFont="1" applyFill="1" applyBorder="1">
      <alignment vertical="center"/>
    </xf>
    <xf numFmtId="0" fontId="20" fillId="6" borderId="7" xfId="0" applyFont="1" applyFill="1" applyBorder="1">
      <alignment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left" vertical="center"/>
    </xf>
    <xf numFmtId="0" fontId="18" fillId="0" borderId="15" xfId="1" applyFill="1" applyAlignment="1">
      <alignment horizontal="left" vertical="center"/>
    </xf>
    <xf numFmtId="0" fontId="18" fillId="0" borderId="15" xfId="1" applyFill="1">
      <alignment vertical="center"/>
    </xf>
    <xf numFmtId="0" fontId="18" fillId="0" borderId="15" xfId="1" applyNumberFormat="1" applyFill="1" applyAlignment="1">
      <alignment horizontal="left" vertical="center"/>
    </xf>
    <xf numFmtId="0" fontId="18" fillId="13" borderId="15" xfId="1" applyNumberFormat="1" applyFill="1" applyAlignment="1">
      <alignment horizontal="left" vertical="center"/>
    </xf>
    <xf numFmtId="0" fontId="18" fillId="13" borderId="15" xfId="1" applyFill="1">
      <alignment vertical="center"/>
    </xf>
    <xf numFmtId="0" fontId="22" fillId="0" borderId="0" xfId="0" applyFont="1" applyAlignment="1">
      <alignment horizontal="center" vertical="center"/>
    </xf>
    <xf numFmtId="0" fontId="18" fillId="0" borderId="15" xfId="1" applyFill="1" applyAlignment="1">
      <alignment horizontal="center" vertical="center"/>
    </xf>
    <xf numFmtId="0" fontId="18" fillId="13" borderId="15" xfId="1" applyFill="1" applyAlignment="1">
      <alignment horizontal="center" vertical="center"/>
    </xf>
    <xf numFmtId="0" fontId="18" fillId="5" borderId="15" xfId="1" applyFill="1">
      <alignment vertical="center"/>
    </xf>
    <xf numFmtId="0" fontId="24" fillId="14" borderId="15" xfId="0" applyFont="1" applyFill="1" applyBorder="1">
      <alignment vertical="center"/>
    </xf>
    <xf numFmtId="0" fontId="18" fillId="6" borderId="15" xfId="1" applyFill="1" applyAlignment="1">
      <alignment horizontal="center" vertical="center"/>
    </xf>
    <xf numFmtId="0" fontId="25" fillId="0" borderId="0" xfId="0" applyFont="1">
      <alignment vertical="center"/>
    </xf>
    <xf numFmtId="0" fontId="20" fillId="7" borderId="2" xfId="0" applyFont="1" applyFill="1" applyBorder="1">
      <alignment vertical="center"/>
    </xf>
    <xf numFmtId="0" fontId="20" fillId="7" borderId="7" xfId="0" applyFont="1" applyFill="1" applyBorder="1">
      <alignment vertical="center"/>
    </xf>
    <xf numFmtId="0" fontId="20" fillId="7" borderId="12" xfId="0" applyFont="1" applyFill="1" applyBorder="1">
      <alignment vertical="center"/>
    </xf>
    <xf numFmtId="185" fontId="18" fillId="6" borderId="16" xfId="1" applyNumberForma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6" fillId="0" borderId="0" xfId="0" applyFont="1" applyAlignment="1">
      <alignment horizontal="left" vertical="center"/>
    </xf>
    <xf numFmtId="186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3" fillId="6" borderId="11" xfId="1" applyFont="1" applyFill="1" applyBorder="1" applyAlignment="1">
      <alignment horizontal="center" vertical="center"/>
    </xf>
    <xf numFmtId="0" fontId="23" fillId="6" borderId="10" xfId="1" applyFont="1" applyFill="1" applyBorder="1" applyAlignment="1">
      <alignment horizontal="center" vertical="center"/>
    </xf>
    <xf numFmtId="0" fontId="23" fillId="6" borderId="8" xfId="1" applyFont="1" applyFill="1" applyBorder="1" applyAlignment="1">
      <alignment horizontal="center" vertical="center"/>
    </xf>
    <xf numFmtId="0" fontId="23" fillId="6" borderId="9" xfId="1" applyFont="1" applyFill="1" applyBorder="1" applyAlignment="1">
      <alignment horizontal="center" vertical="center"/>
    </xf>
    <xf numFmtId="0" fontId="23" fillId="6" borderId="0" xfId="1" applyFont="1" applyFill="1" applyBorder="1" applyAlignment="1">
      <alignment horizontal="center" vertical="center"/>
    </xf>
    <xf numFmtId="0" fontId="23" fillId="6" borderId="14" xfId="1" applyFont="1" applyFill="1" applyBorder="1" applyAlignment="1">
      <alignment horizontal="center" vertical="center"/>
    </xf>
    <xf numFmtId="0" fontId="23" fillId="6" borderId="12" xfId="1" applyFont="1" applyFill="1" applyBorder="1" applyAlignment="1">
      <alignment horizontal="center" vertical="center"/>
    </xf>
    <xf numFmtId="0" fontId="23" fillId="6" borderId="1" xfId="1" applyFont="1" applyFill="1" applyBorder="1" applyAlignment="1">
      <alignment horizontal="center" vertical="center"/>
    </xf>
    <xf numFmtId="0" fontId="23" fillId="6" borderId="13" xfId="1" applyFont="1" applyFill="1" applyBorder="1" applyAlignment="1">
      <alignment horizontal="center" vertical="center"/>
    </xf>
    <xf numFmtId="0" fontId="18" fillId="6" borderId="16" xfId="1" applyFill="1" applyBorder="1" applyAlignment="1">
      <alignment horizontal="center" vertical="center"/>
    </xf>
    <xf numFmtId="0" fontId="18" fillId="6" borderId="15" xfId="1" applyFill="1" applyAlignment="1">
      <alignment horizontal="center" vertical="center"/>
    </xf>
    <xf numFmtId="0" fontId="18" fillId="0" borderId="15" xfId="1" applyFill="1" applyAlignment="1">
      <alignment horizontal="left" vertical="center"/>
    </xf>
    <xf numFmtId="0" fontId="18" fillId="0" borderId="15" xfId="1" applyNumberFormat="1" applyFill="1" applyAlignment="1">
      <alignment horizontal="left" vertical="center"/>
    </xf>
    <xf numFmtId="0" fontId="18" fillId="13" borderId="15" xfId="1" applyNumberFormat="1" applyFill="1" applyAlignment="1">
      <alignment horizontal="left" vertical="center"/>
    </xf>
    <xf numFmtId="0" fontId="18" fillId="13" borderId="15" xfId="1" applyFill="1" applyAlignment="1">
      <alignment horizontal="left" vertical="center"/>
    </xf>
    <xf numFmtId="0" fontId="18" fillId="6" borderId="16" xfId="1" applyNumberFormat="1" applyFill="1" applyBorder="1" applyAlignment="1">
      <alignment horizontal="center" vertical="center"/>
    </xf>
    <xf numFmtId="0" fontId="18" fillId="6" borderId="15" xfId="1" applyNumberFormat="1" applyFill="1" applyAlignment="1">
      <alignment horizontal="center" vertical="center"/>
    </xf>
    <xf numFmtId="14" fontId="18" fillId="0" borderId="15" xfId="1" applyNumberFormat="1" applyFill="1" applyAlignment="1">
      <alignment horizontal="left" vertical="center"/>
    </xf>
    <xf numFmtId="0" fontId="20" fillId="7" borderId="6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0" fontId="20" fillId="7" borderId="7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2">
    <cellStyle name="출력" xfId="1" builtinId="2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430307</xdr:colOff>
      <xdr:row>15</xdr:row>
      <xdr:rowOff>231360</xdr:rowOff>
    </xdr:from>
    <xdr:to>
      <xdr:col>12</xdr:col>
      <xdr:colOff>201635</xdr:colOff>
      <xdr:row>17</xdr:row>
      <xdr:rowOff>23600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" name="잉크 5">
              <a:extLst>
                <a:ext uri="{FF2B5EF4-FFF2-40B4-BE49-F238E27FC236}">
                  <a16:creationId xmlns:a16="http://schemas.microsoft.com/office/drawing/2014/main" id="{88BAB5C3-02B7-8F3C-425C-667637AE02F0}"/>
                </a:ext>
              </a:extLst>
            </xdr14:cNvPr>
            <xdr14:cNvContentPartPr/>
          </xdr14:nvContentPartPr>
          <xdr14:nvPr macro=""/>
          <xdr14:xfrm>
            <a:off x="7838640" y="4041360"/>
            <a:ext cx="6273728" cy="300240"/>
          </xdr14:xfrm>
        </xdr:contentPart>
      </mc:Choice>
      <mc:Fallback xmlns="">
        <xdr:pic>
          <xdr:nvPicPr>
            <xdr:cNvPr id="6" name="잉크 5">
              <a:extLst>
                <a:ext uri="{FF2B5EF4-FFF2-40B4-BE49-F238E27FC236}">
                  <a16:creationId xmlns:a16="http://schemas.microsoft.com/office/drawing/2014/main" id="{88BAB5C3-02B7-8F3C-425C-667637AE02F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832495" y="4035240"/>
              <a:ext cx="6286017" cy="312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1-23T05:10:37.63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17357 577 24575,'-14'0'0,"-18"0"0,-31 0-3110,-34 0 3110,29 0 0,-6 0-965,-13 0 0,-4 0 965,25 0 0,-2 0 0,2 0 0,-28 0 0,4 0 58,13 0 0,4 0-58,8 0 0,2 0 0,10 0 0,0 0 0,-12 0 0,-3 0 0,3 0 0,-1 0 0,4 0 0,0 0-250,3 0 0,2 0 250,4 0 0,-1 0 0,-10 0 0,-5 0-327,1 0 0,-6 0 0,1 0 327,7 0 0,1 0 0,-4 0 0,-20 0 0,-4 0 0,1 0-316,15 0 0,1 0 0,-1 0 316,-12 0 0,-2 0 0,-1 0-762,-4 0 1,-1 0 0,-1 0 761,19 0 0,0 1 0,-1-1 0,-1-1-616,-3-1 0,-1-1 1,0 0-1,0-1 616,-3 0 0,0-2 0,-1 1 0,1-2 0,1 0 0,0 0 0,0-1 0,0-1 0,-1 0 0,1 0 0,0-1 0,1 1 0,5 1 0,0 0 0,1 0 0,0 1-181,2 0 1,0 1 0,1 0 0,0 0 180,0 1 0,1 1 0,0 0 0,0 1 0,-19-1 0,1 2 0,0 0-1,0 1 0,0 1 1,2 0 0,5 0 0,2 0 0,1 0 0,2 0 0,1 0 0,0 0 249,3 0 0,1 0 0,0 0-249,0 0 0,1 0 0,0 0 0,1-1 0,0 1 0,1 1 0,4 0 0,2 0 0,-1 2 494,1 0 0,0 1 0,0 0-494,-30 5 0,2 1 0,9 1 0,2 0 0,0-2 0,1-1 749,4-1 1,2-2-750,6-2 0,0-1 928,-4-1 1,-2 0-929,-3 0 0,0-1 0,4 0 0,0 0 434,-2 0 0,0 0-434,-7 0 0,-1 0 0,8 0 0,0 0 0,-8 0 0,0 0 0,-1 0 0,2 0 0,8 0 0,1 0 0,-5 0 0,0 0 0,1 0 0,1 0 0,6 0 0,2 0 0,1 0 0,-1 0 0,-6-2 0,-2-2 0,4 0 0,0 1 0,-5-1 0,-1 0 0,3 0 0,2 2 0,6 2 0,1 0 0,-9 0 0,1 0 0,4 0 0,1 0 0,0 0 0,0 0 0,-7 0 0,-2 0 0,-3 0 0,0 0 0,-1 0 0,1 0 0,2-2 0,3-1 0,10 1 0,2-1 0,2-2 0,0 0 514,-2-2 1,0 0-515,4-1 0,0 0 0,0-1 0,0-2 0,5 1 0,1 0 0,0 0 0,0 0 571,3 2 0,0 0-571,5 1 0,0 0 0,-49-7 0,9 4 0,5-2 0,8 3 0,2 5 0,10 0 808,1 4-808,2 0 1755,4 0-1755,-6 0 1113,-1 0-1113,0 0 0,0 0 523,-1 0-523,1 0 0,-6 0 0,-2 0 0,-1 0 0,-4 4 0,4 1 0,1 0 0,8 2 0,7-3 0,5 0 0,9-1 0,0-3 0,3 0 0,0 0 0,-9 0 0,6 0 0,0 0 0,2 0 0,4 0 0,-4 0 0,-2 0 0,1 0 0,1 0 0,1 2 0,1 2 0,-2-1 0,0 3 0,-1-2 0,5 0 0,5-1 0,6-3 0,7 0 0,5 0 0,4 0 0,3 0 0,-3 0 0,-3 0 0,-5 0 0,-3 0 0,-4 0 0,-5 0 0,-6 0 0,-4 0 0,0 0 0,-2 0 0,5 0 0,5 0 0,4 0 0,8 0 0,4 0 0,4 0 0,4 0 0,2-1 0,1-1 0,1-2 0,3-4 0,-2-1 0,1-1 0,1 4 0,-2 2 0</inkml:trace>
  <inkml:trace contextRef="#ctx0" brushRef="#br0" timeOffset="2808">1 238 24575,'1'8'0,"8"7"0,9 9 0,10 10 0,8 5 0,-4-4 0,-5-7 0,-8-7 0,-6-6 0,-3-3 0,-3-3 0,0-3 0,-2-1 0,-1-2 0,0 0 0,1 5 0,4 7 0,8 12 0,9 12 0,6 4 0,2 3 0,-3-4 0,-7-8 0,-4-6 0,-4-8 0,-4-5 0,-2-3 0,-5-3 0,-1-9 0,-3-8 0,-1-14 0,-2-13 0,1 14 0,-1 1 0</inkml:trace>
  <inkml:trace contextRef="#ctx0" brushRef="#br0" timeOffset="4482">44 279 24575,'6'0'0,"17"-5"0,7-3 0,2-3 0,1 0 0,-14 4 0,-1 3 0,-3 1 0,-6 1 0,-1-2 0,3-4 0,3-4 0,6-2 0,1-1 0,-2 0 0,-1 2 0,-5 4 0,-3 3 0,0-4 0,2-2 0,3-4 0,6-4 0,1 4 0,-1 0 0,-4 3 0,-5 4 0,-3 0 0,-3 3 0,0 3 0,-3 2 0,-1 1 0</inkml:trace>
</inkml: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5976-EE8F-6B45-ABA3-72050687F9A0}">
  <dimension ref="B4:I18"/>
  <sheetViews>
    <sheetView topLeftCell="A3" workbookViewId="0">
      <selection activeCell="D19" sqref="D19"/>
    </sheetView>
  </sheetViews>
  <sheetFormatPr baseColWidth="10" defaultRowHeight="23"/>
  <cols>
    <col min="1" max="1" width="10.625" style="1"/>
    <col min="2" max="2" width="11.5" style="2" customWidth="1"/>
    <col min="3" max="3" width="2.875" style="2" customWidth="1"/>
    <col min="4" max="4" width="15.375" style="1" customWidth="1"/>
    <col min="5" max="16384" width="10.625" style="1"/>
  </cols>
  <sheetData>
    <row r="4" spans="2:9" ht="59">
      <c r="B4" s="93" t="s">
        <v>0</v>
      </c>
      <c r="C4" s="93"/>
      <c r="D4" s="93"/>
      <c r="E4" s="93"/>
      <c r="F4" s="93"/>
      <c r="G4" s="93"/>
      <c r="H4" s="93"/>
      <c r="I4" s="93"/>
    </row>
    <row r="6" spans="2:9">
      <c r="B6" s="2" t="s">
        <v>16</v>
      </c>
      <c r="C6" s="2">
        <v>1</v>
      </c>
      <c r="D6" s="1" t="s">
        <v>3</v>
      </c>
      <c r="E6" s="1" t="s">
        <v>6</v>
      </c>
    </row>
    <row r="8" spans="2:9">
      <c r="C8" s="2">
        <v>2</v>
      </c>
      <c r="D8" s="1" t="s">
        <v>4</v>
      </c>
      <c r="E8" s="1" t="s">
        <v>2</v>
      </c>
    </row>
    <row r="10" spans="2:9">
      <c r="C10" s="2">
        <v>3</v>
      </c>
      <c r="D10" s="1" t="s">
        <v>5</v>
      </c>
      <c r="E10" s="1" t="s">
        <v>1</v>
      </c>
    </row>
    <row r="12" spans="2:9">
      <c r="C12" s="2">
        <v>4</v>
      </c>
      <c r="D12" s="1" t="s">
        <v>28</v>
      </c>
      <c r="E12" s="1" t="s">
        <v>29</v>
      </c>
    </row>
    <row r="14" spans="2:9">
      <c r="C14" s="2">
        <v>5</v>
      </c>
      <c r="D14" s="1" t="s">
        <v>30</v>
      </c>
    </row>
    <row r="16" spans="2:9">
      <c r="C16" s="2">
        <v>6</v>
      </c>
      <c r="D16" s="1" t="s">
        <v>8</v>
      </c>
    </row>
    <row r="18" spans="4:4">
      <c r="D18" s="1" t="s">
        <v>184</v>
      </c>
    </row>
  </sheetData>
  <mergeCells count="1">
    <mergeCell ref="B4:I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05A06-5127-3F41-9340-450E96F3F0CA}">
  <dimension ref="B4:XFB63"/>
  <sheetViews>
    <sheetView tabSelected="1" topLeftCell="V51" zoomScale="87" workbookViewId="0">
      <selection activeCell="AL36" sqref="AL1:AL1048576"/>
    </sheetView>
  </sheetViews>
  <sheetFormatPr baseColWidth="10" defaultColWidth="10.125" defaultRowHeight="30" customHeight="1"/>
  <cols>
    <col min="1" max="1" width="10.125" style="48"/>
    <col min="2" max="2" width="14.125" style="52" customWidth="1"/>
    <col min="3" max="3" width="21.25" style="49" customWidth="1"/>
    <col min="4" max="22" width="10.125" style="48"/>
    <col min="23" max="23" width="10.125" style="49"/>
    <col min="24" max="28" width="10.125" style="48"/>
    <col min="29" max="29" width="4.125" style="48" customWidth="1"/>
    <col min="30" max="30" width="13.5" style="52" customWidth="1"/>
    <col min="31" max="31" width="12.5" style="48" bestFit="1" customWidth="1"/>
    <col min="32" max="16384" width="10.125" style="48"/>
  </cols>
  <sheetData>
    <row r="4" spans="2:30" ht="78" customHeight="1">
      <c r="B4" s="115" t="s">
        <v>7</v>
      </c>
      <c r="C4" s="115"/>
      <c r="D4" s="115"/>
      <c r="E4" s="115"/>
      <c r="F4" s="47"/>
      <c r="G4" s="47"/>
      <c r="H4" s="47"/>
      <c r="I4" s="47"/>
      <c r="J4" s="47"/>
      <c r="K4" s="47"/>
      <c r="L4" s="47"/>
      <c r="M4" s="47"/>
      <c r="N4" s="47"/>
    </row>
    <row r="5" spans="2:30" ht="30" customHeight="1">
      <c r="B5" s="50"/>
      <c r="C5" s="51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</row>
    <row r="6" spans="2:30" s="52" customFormat="1" ht="30" customHeight="1">
      <c r="B6" s="50"/>
      <c r="C6" s="51"/>
      <c r="D6" s="50" t="s">
        <v>16</v>
      </c>
      <c r="E6" s="50" t="s">
        <v>17</v>
      </c>
      <c r="F6" s="50" t="s">
        <v>18</v>
      </c>
      <c r="G6" s="50" t="s">
        <v>19</v>
      </c>
      <c r="H6" s="50" t="s">
        <v>20</v>
      </c>
      <c r="I6" s="50" t="s">
        <v>21</v>
      </c>
      <c r="J6" s="50" t="s">
        <v>22</v>
      </c>
      <c r="K6" s="50" t="s">
        <v>23</v>
      </c>
      <c r="L6" s="50" t="s">
        <v>24</v>
      </c>
      <c r="M6" s="50" t="s">
        <v>25</v>
      </c>
      <c r="N6" s="50" t="s">
        <v>26</v>
      </c>
      <c r="O6" s="52" t="s">
        <v>686</v>
      </c>
      <c r="W6" s="49"/>
    </row>
    <row r="7" spans="2:30" s="52" customFormat="1" ht="30" customHeight="1">
      <c r="B7" s="53"/>
      <c r="C7" s="54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W7" s="49"/>
    </row>
    <row r="8" spans="2:30" s="59" customFormat="1" ht="30" customHeight="1" thickBot="1">
      <c r="B8" s="55" t="s">
        <v>11</v>
      </c>
      <c r="C8" s="56" t="s">
        <v>8</v>
      </c>
      <c r="D8" s="57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W8" s="60"/>
      <c r="AD8" s="78"/>
    </row>
    <row r="9" spans="2:30" s="59" customFormat="1" ht="30" customHeight="1">
      <c r="B9" s="61"/>
      <c r="C9" s="56" t="s">
        <v>62</v>
      </c>
      <c r="D9" s="62"/>
      <c r="E9" s="63"/>
      <c r="F9" s="58"/>
      <c r="G9" s="58"/>
      <c r="H9" s="58"/>
      <c r="I9" s="58"/>
      <c r="J9" s="58"/>
      <c r="K9" s="58"/>
      <c r="L9" s="58"/>
      <c r="M9" s="58"/>
      <c r="N9" s="58"/>
      <c r="O9" s="58"/>
      <c r="W9" s="60"/>
      <c r="AD9" s="78"/>
    </row>
    <row r="10" spans="2:30" s="59" customFormat="1" ht="30" customHeight="1">
      <c r="B10" s="61"/>
      <c r="C10" s="56" t="s">
        <v>9</v>
      </c>
      <c r="D10" s="64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W10" s="60"/>
      <c r="AD10" s="78"/>
    </row>
    <row r="11" spans="2:30" s="59" customFormat="1" ht="30" customHeight="1">
      <c r="B11" s="61"/>
      <c r="C11" s="65" t="s">
        <v>56</v>
      </c>
      <c r="D11" s="64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W11" s="60"/>
      <c r="AD11" s="78"/>
    </row>
    <row r="12" spans="2:30" s="52" customFormat="1" ht="30" customHeight="1">
      <c r="B12" s="66"/>
      <c r="C12" s="67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W12" s="49"/>
    </row>
    <row r="13" spans="2:30" ht="30" customHeight="1" thickBot="1">
      <c r="B13" s="55" t="s">
        <v>10</v>
      </c>
      <c r="C13" s="56" t="s">
        <v>57</v>
      </c>
      <c r="D13" s="69"/>
      <c r="E13" s="70"/>
      <c r="F13" s="47"/>
      <c r="G13" s="47"/>
      <c r="H13" s="47"/>
      <c r="I13" s="47"/>
      <c r="J13" s="47"/>
      <c r="K13" s="47"/>
      <c r="L13" s="47"/>
      <c r="M13" s="47"/>
      <c r="N13" s="47"/>
      <c r="O13" s="47"/>
    </row>
    <row r="14" spans="2:30" ht="30" customHeight="1">
      <c r="B14" s="61"/>
      <c r="C14" s="71" t="s">
        <v>12</v>
      </c>
      <c r="D14" s="47"/>
      <c r="E14" s="69"/>
      <c r="F14" s="70"/>
      <c r="G14" s="47"/>
      <c r="H14" s="47"/>
      <c r="I14" s="47"/>
      <c r="J14" s="47"/>
      <c r="K14" s="47"/>
      <c r="L14" s="47"/>
      <c r="M14" s="47"/>
      <c r="N14" s="47"/>
      <c r="O14" s="47"/>
    </row>
    <row r="15" spans="2:30" ht="30" customHeight="1">
      <c r="B15" s="61"/>
      <c r="C15" s="71" t="s">
        <v>64</v>
      </c>
      <c r="D15" s="47"/>
      <c r="E15" s="47"/>
      <c r="F15" s="69"/>
      <c r="G15" s="70"/>
      <c r="H15" s="47"/>
      <c r="I15" s="47"/>
      <c r="J15" s="47"/>
      <c r="K15" s="47"/>
      <c r="L15" s="47"/>
      <c r="M15" s="47"/>
      <c r="N15" s="47"/>
      <c r="O15" s="47"/>
    </row>
    <row r="16" spans="2:30" s="52" customFormat="1" ht="30" customHeight="1">
      <c r="B16" s="66"/>
      <c r="C16" s="67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W16" s="49"/>
    </row>
    <row r="17" spans="2:24" ht="30" customHeight="1" thickBot="1">
      <c r="B17" s="55" t="s">
        <v>13</v>
      </c>
      <c r="C17" s="56" t="s">
        <v>14</v>
      </c>
      <c r="D17" s="47"/>
      <c r="E17" s="47"/>
      <c r="F17" s="112"/>
      <c r="G17" s="113"/>
      <c r="H17" s="114"/>
      <c r="I17" s="47"/>
      <c r="J17" s="47"/>
      <c r="K17" s="47"/>
      <c r="L17" s="47"/>
      <c r="M17" s="47"/>
      <c r="N17" s="47"/>
      <c r="O17" s="47"/>
    </row>
    <row r="18" spans="2:24" ht="30" customHeight="1">
      <c r="B18" s="61"/>
      <c r="C18" s="56" t="s">
        <v>58</v>
      </c>
      <c r="D18" s="47"/>
      <c r="E18" s="47"/>
      <c r="F18" s="112"/>
      <c r="G18" s="113"/>
      <c r="H18" s="114"/>
      <c r="I18" s="47"/>
      <c r="J18" s="47"/>
      <c r="K18" s="47"/>
      <c r="L18" s="47"/>
      <c r="M18" s="47"/>
      <c r="N18" s="47"/>
      <c r="O18" s="47"/>
    </row>
    <row r="19" spans="2:24" ht="30" customHeight="1">
      <c r="B19" s="61"/>
      <c r="C19" s="56" t="s">
        <v>59</v>
      </c>
      <c r="D19" s="47"/>
      <c r="E19" s="47"/>
      <c r="F19" s="47"/>
      <c r="H19" s="112"/>
      <c r="I19" s="113"/>
      <c r="J19" s="114"/>
      <c r="K19" s="47"/>
      <c r="L19" s="47"/>
      <c r="M19" s="47"/>
      <c r="N19" s="47"/>
      <c r="O19" s="47"/>
    </row>
    <row r="20" spans="2:24" ht="30" customHeight="1">
      <c r="B20" s="61"/>
      <c r="C20" s="65" t="s">
        <v>60</v>
      </c>
      <c r="D20" s="47"/>
      <c r="E20" s="47"/>
      <c r="F20" s="47"/>
      <c r="G20" s="47"/>
      <c r="H20" s="47"/>
      <c r="I20" s="47"/>
      <c r="J20" s="87"/>
      <c r="K20" s="85"/>
      <c r="L20" s="85"/>
      <c r="M20" s="86"/>
      <c r="N20" s="47"/>
      <c r="O20" s="47"/>
    </row>
    <row r="21" spans="2:24" ht="30" customHeight="1">
      <c r="B21" s="61"/>
      <c r="C21" s="65" t="s">
        <v>61</v>
      </c>
      <c r="D21" s="47"/>
      <c r="E21" s="47"/>
      <c r="F21" s="47"/>
      <c r="G21" s="47"/>
      <c r="H21" s="47"/>
      <c r="I21" s="47"/>
      <c r="J21" s="47"/>
      <c r="K21" s="47"/>
      <c r="L21" s="112"/>
      <c r="M21" s="114"/>
      <c r="N21" s="47"/>
      <c r="O21" s="47"/>
    </row>
    <row r="22" spans="2:24" s="52" customFormat="1" ht="30" customHeight="1">
      <c r="B22" s="66"/>
      <c r="C22" s="67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W22" s="49"/>
    </row>
    <row r="23" spans="2:24" ht="30" customHeight="1" thickBot="1">
      <c r="B23" s="55" t="s">
        <v>15</v>
      </c>
      <c r="C23" s="56" t="s">
        <v>65</v>
      </c>
      <c r="D23" s="47"/>
      <c r="E23" s="47"/>
      <c r="F23" s="47"/>
      <c r="G23" s="47"/>
      <c r="H23" s="47"/>
      <c r="I23" s="47"/>
      <c r="J23" s="47"/>
      <c r="K23" s="47"/>
      <c r="L23" s="47"/>
      <c r="M23" s="116"/>
      <c r="N23" s="117"/>
      <c r="O23" s="47"/>
    </row>
    <row r="24" spans="2:24" ht="30" customHeight="1">
      <c r="B24" s="61"/>
      <c r="C24" s="72" t="s">
        <v>27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116"/>
      <c r="O24" s="117"/>
    </row>
    <row r="28" spans="2:24" ht="30" customHeight="1">
      <c r="X28" s="48" t="s">
        <v>685</v>
      </c>
    </row>
    <row r="33" spans="23:42" ht="30" customHeight="1">
      <c r="W33" s="94" t="s">
        <v>672</v>
      </c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6"/>
    </row>
    <row r="34" spans="23:42" ht="30" customHeight="1">
      <c r="W34" s="97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9"/>
    </row>
    <row r="35" spans="23:42" ht="30" customHeight="1">
      <c r="W35" s="100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2"/>
    </row>
    <row r="36" spans="23:42" ht="30" customHeight="1">
      <c r="W36" s="109" t="s">
        <v>660</v>
      </c>
      <c r="X36" s="109"/>
      <c r="Y36" s="109"/>
      <c r="Z36" s="109"/>
      <c r="AA36" s="109"/>
      <c r="AB36" s="109"/>
      <c r="AC36" s="109"/>
      <c r="AD36" s="103" t="s">
        <v>661</v>
      </c>
      <c r="AE36" s="88">
        <v>45250</v>
      </c>
      <c r="AF36" s="88">
        <v>45251</v>
      </c>
      <c r="AG36" s="88">
        <v>45252</v>
      </c>
      <c r="AH36" s="88">
        <v>45253</v>
      </c>
      <c r="AI36" s="88">
        <v>45254</v>
      </c>
      <c r="AJ36" s="88">
        <v>45255</v>
      </c>
      <c r="AK36" s="88">
        <v>45256</v>
      </c>
      <c r="AL36" s="88">
        <v>45257</v>
      </c>
      <c r="AM36" s="88">
        <v>45258</v>
      </c>
      <c r="AN36" s="88">
        <v>45259</v>
      </c>
      <c r="AO36" s="88">
        <v>45260</v>
      </c>
      <c r="AP36" s="88">
        <v>45261</v>
      </c>
    </row>
    <row r="37" spans="23:42" ht="30" customHeight="1">
      <c r="W37" s="110"/>
      <c r="X37" s="110"/>
      <c r="Y37" s="110"/>
      <c r="Z37" s="110"/>
      <c r="AA37" s="110"/>
      <c r="AB37" s="110"/>
      <c r="AC37" s="110"/>
      <c r="AD37" s="104"/>
      <c r="AE37" s="83" t="s">
        <v>662</v>
      </c>
      <c r="AF37" s="83" t="s">
        <v>663</v>
      </c>
      <c r="AG37" s="83" t="s">
        <v>664</v>
      </c>
      <c r="AH37" s="83" t="s">
        <v>665</v>
      </c>
      <c r="AI37" s="83" t="s">
        <v>666</v>
      </c>
      <c r="AJ37" s="83" t="s">
        <v>667</v>
      </c>
      <c r="AK37" s="83" t="s">
        <v>668</v>
      </c>
      <c r="AL37" s="83" t="s">
        <v>662</v>
      </c>
      <c r="AM37" s="83" t="s">
        <v>663</v>
      </c>
      <c r="AN37" s="83" t="s">
        <v>664</v>
      </c>
      <c r="AO37" s="83" t="s">
        <v>665</v>
      </c>
      <c r="AP37" s="83" t="s">
        <v>666</v>
      </c>
    </row>
    <row r="38" spans="23:42" ht="30" customHeight="1">
      <c r="W38" s="105" t="s">
        <v>634</v>
      </c>
      <c r="X38" s="105"/>
      <c r="Y38" s="105"/>
      <c r="Z38" s="105"/>
      <c r="AA38" s="105"/>
      <c r="AB38" s="105"/>
      <c r="AC38" s="105"/>
      <c r="AD38" s="79" t="s">
        <v>669</v>
      </c>
      <c r="AE38" s="81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</row>
    <row r="39" spans="23:42" ht="30" customHeight="1">
      <c r="W39" s="105" t="s">
        <v>635</v>
      </c>
      <c r="X39" s="105"/>
      <c r="Y39" s="105"/>
      <c r="Z39" s="105"/>
      <c r="AA39" s="105"/>
      <c r="AB39" s="105"/>
      <c r="AC39" s="105"/>
      <c r="AD39" s="79" t="s">
        <v>669</v>
      </c>
      <c r="AE39" s="81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</row>
    <row r="40" spans="23:42" ht="30" customHeight="1">
      <c r="W40" s="107" t="s">
        <v>643</v>
      </c>
      <c r="X40" s="107"/>
      <c r="Y40" s="107"/>
      <c r="Z40" s="107"/>
      <c r="AA40" s="107"/>
      <c r="AB40" s="107"/>
      <c r="AC40" s="107"/>
      <c r="AD40" s="80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</row>
    <row r="41" spans="23:42" ht="30" customHeight="1">
      <c r="W41" s="75"/>
      <c r="X41" s="106" t="s">
        <v>658</v>
      </c>
      <c r="Y41" s="106"/>
      <c r="Z41" s="106"/>
      <c r="AA41" s="106"/>
      <c r="AB41" s="106"/>
      <c r="AC41" s="106"/>
      <c r="AD41" s="79" t="s">
        <v>670</v>
      </c>
      <c r="AE41" s="82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</row>
    <row r="42" spans="23:42" ht="30" customHeight="1">
      <c r="W42" s="75"/>
      <c r="X42" s="106" t="s">
        <v>659</v>
      </c>
      <c r="Y42" s="106"/>
      <c r="Z42" s="106"/>
      <c r="AA42" s="106"/>
      <c r="AB42" s="106"/>
      <c r="AC42" s="106"/>
      <c r="AD42" s="79" t="s">
        <v>670</v>
      </c>
      <c r="AE42" s="82"/>
      <c r="AF42" s="82"/>
      <c r="AG42" s="74"/>
      <c r="AH42" s="74"/>
      <c r="AI42" s="74"/>
      <c r="AJ42" s="74"/>
      <c r="AK42" s="74"/>
      <c r="AL42" s="74"/>
      <c r="AM42" s="74"/>
      <c r="AN42" s="74"/>
      <c r="AO42" s="74"/>
      <c r="AP42" s="74"/>
    </row>
    <row r="43" spans="23:42" ht="30" customHeight="1">
      <c r="W43" s="107" t="s">
        <v>644</v>
      </c>
      <c r="X43" s="107"/>
      <c r="Y43" s="107"/>
      <c r="Z43" s="107"/>
      <c r="AA43" s="107"/>
      <c r="AB43" s="107"/>
      <c r="AC43" s="107"/>
      <c r="AD43" s="80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</row>
    <row r="44" spans="23:42" ht="30" customHeight="1">
      <c r="W44" s="76"/>
      <c r="X44" s="108" t="s">
        <v>651</v>
      </c>
      <c r="Y44" s="108"/>
      <c r="Z44" s="108"/>
      <c r="AA44" s="108"/>
      <c r="AB44" s="108"/>
      <c r="AC44" s="108"/>
      <c r="AD44" s="80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</row>
    <row r="45" spans="23:42" ht="30" customHeight="1">
      <c r="W45" s="75"/>
      <c r="X45" s="73"/>
      <c r="Y45" s="105" t="s">
        <v>645</v>
      </c>
      <c r="Z45" s="105"/>
      <c r="AA45" s="105"/>
      <c r="AB45" s="105"/>
      <c r="AC45" s="105"/>
      <c r="AD45" s="79" t="s">
        <v>670</v>
      </c>
      <c r="AE45" s="82"/>
      <c r="AF45" s="82"/>
      <c r="AG45" s="74"/>
      <c r="AH45" s="74"/>
      <c r="AI45" s="74"/>
      <c r="AJ45" s="74"/>
      <c r="AK45" s="74"/>
      <c r="AL45" s="74"/>
      <c r="AM45" s="74"/>
      <c r="AN45" s="74"/>
      <c r="AO45" s="74"/>
      <c r="AP45" s="74"/>
    </row>
    <row r="46" spans="23:42" ht="30" customHeight="1">
      <c r="W46" s="75"/>
      <c r="X46" s="73"/>
      <c r="Y46" s="105" t="s">
        <v>646</v>
      </c>
      <c r="Z46" s="105"/>
      <c r="AA46" s="105"/>
      <c r="AB46" s="105"/>
      <c r="AC46" s="105"/>
      <c r="AD46" s="79" t="s">
        <v>670</v>
      </c>
      <c r="AE46" s="82"/>
      <c r="AF46" s="82"/>
      <c r="AG46" s="74"/>
      <c r="AH46" s="74"/>
      <c r="AI46" s="74"/>
      <c r="AJ46" s="74"/>
      <c r="AK46" s="74"/>
      <c r="AL46" s="74"/>
      <c r="AM46" s="74"/>
      <c r="AN46" s="74"/>
      <c r="AO46" s="74"/>
      <c r="AP46" s="74"/>
    </row>
    <row r="47" spans="23:42" ht="30" customHeight="1">
      <c r="W47" s="75"/>
      <c r="X47" s="73"/>
      <c r="Y47" s="105" t="s">
        <v>647</v>
      </c>
      <c r="Z47" s="105"/>
      <c r="AA47" s="105"/>
      <c r="AB47" s="105"/>
      <c r="AC47" s="105"/>
      <c r="AD47" s="79" t="s">
        <v>670</v>
      </c>
      <c r="AE47" s="74"/>
      <c r="AF47" s="82"/>
      <c r="AG47" s="82"/>
      <c r="AH47" s="74"/>
      <c r="AI47" s="74"/>
      <c r="AJ47" s="74"/>
      <c r="AK47" s="74"/>
      <c r="AL47" s="74"/>
      <c r="AM47" s="74"/>
      <c r="AN47" s="74"/>
      <c r="AO47" s="74"/>
      <c r="AP47" s="74"/>
    </row>
    <row r="48" spans="23:42" ht="30" customHeight="1">
      <c r="W48" s="75"/>
      <c r="X48" s="73"/>
      <c r="Y48" s="105" t="s">
        <v>648</v>
      </c>
      <c r="Z48" s="105"/>
      <c r="AA48" s="105"/>
      <c r="AB48" s="105"/>
      <c r="AC48" s="105"/>
      <c r="AD48" s="79" t="s">
        <v>669</v>
      </c>
      <c r="AE48" s="74"/>
      <c r="AF48" s="82"/>
      <c r="AG48" s="74"/>
      <c r="AH48" s="74"/>
      <c r="AI48" s="74"/>
      <c r="AJ48" s="74"/>
      <c r="AK48" s="74"/>
      <c r="AL48" s="74"/>
      <c r="AM48" s="74"/>
      <c r="AN48" s="74"/>
      <c r="AO48" s="74"/>
      <c r="AP48" s="74"/>
    </row>
    <row r="49" spans="23:42 16382:16382" ht="30" customHeight="1">
      <c r="W49" s="75"/>
      <c r="X49" s="73"/>
      <c r="Y49" s="105" t="s">
        <v>649</v>
      </c>
      <c r="Z49" s="105"/>
      <c r="AA49" s="105"/>
      <c r="AB49" s="105"/>
      <c r="AC49" s="105"/>
      <c r="AD49" s="79" t="s">
        <v>670</v>
      </c>
      <c r="AE49" s="74"/>
      <c r="AF49" s="82"/>
      <c r="AG49" s="82"/>
      <c r="AH49" s="74"/>
      <c r="AI49" s="74"/>
      <c r="AJ49" s="74"/>
      <c r="AK49" s="74"/>
      <c r="AL49" s="74"/>
      <c r="AM49" s="74"/>
      <c r="AN49" s="74"/>
      <c r="AO49" s="74"/>
      <c r="AP49" s="74"/>
    </row>
    <row r="50" spans="23:42 16382:16382" ht="30" customHeight="1">
      <c r="W50" s="76"/>
      <c r="X50" s="108" t="s">
        <v>650</v>
      </c>
      <c r="Y50" s="108"/>
      <c r="Z50" s="108"/>
      <c r="AA50" s="108"/>
      <c r="AB50" s="108"/>
      <c r="AC50" s="108"/>
      <c r="AD50" s="80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</row>
    <row r="51" spans="23:42 16382:16382" ht="30" customHeight="1">
      <c r="W51" s="75"/>
      <c r="X51" s="73"/>
      <c r="Y51" s="111" t="s">
        <v>652</v>
      </c>
      <c r="Z51" s="111"/>
      <c r="AA51" s="111"/>
      <c r="AB51" s="111"/>
      <c r="AC51" s="111"/>
      <c r="AD51" s="79" t="s">
        <v>671</v>
      </c>
      <c r="AE51" s="74"/>
      <c r="AF51" s="74"/>
      <c r="AG51" s="82"/>
      <c r="AH51" s="82"/>
      <c r="AI51" s="82"/>
      <c r="AJ51" s="74"/>
      <c r="AK51" s="74"/>
      <c r="AL51" s="74"/>
      <c r="AM51" s="74"/>
      <c r="AN51" s="74"/>
      <c r="AO51" s="74"/>
      <c r="AP51" s="74"/>
    </row>
    <row r="52" spans="23:42 16382:16382" ht="30" customHeight="1">
      <c r="W52" s="75"/>
      <c r="X52" s="73"/>
      <c r="Y52" s="111" t="s">
        <v>636</v>
      </c>
      <c r="Z52" s="111"/>
      <c r="AA52" s="111"/>
      <c r="AB52" s="111"/>
      <c r="AC52" s="111"/>
      <c r="AD52" s="79" t="s">
        <v>671</v>
      </c>
      <c r="AE52" s="74"/>
      <c r="AF52" s="74"/>
      <c r="AG52" s="74"/>
      <c r="AH52" s="82"/>
      <c r="AI52" s="82"/>
      <c r="AJ52" s="82"/>
      <c r="AK52" s="74"/>
      <c r="AL52" s="74"/>
      <c r="AM52" s="74"/>
      <c r="AN52" s="74"/>
      <c r="AO52" s="74"/>
      <c r="AP52" s="74"/>
    </row>
    <row r="53" spans="23:42 16382:16382" ht="30" customHeight="1">
      <c r="W53" s="75"/>
      <c r="X53" s="73"/>
      <c r="Y53" s="105" t="s">
        <v>637</v>
      </c>
      <c r="Z53" s="105"/>
      <c r="AA53" s="105"/>
      <c r="AB53" s="105"/>
      <c r="AC53" s="105"/>
      <c r="AD53" s="79" t="s">
        <v>671</v>
      </c>
      <c r="AE53" s="74"/>
      <c r="AF53" s="74"/>
      <c r="AG53" s="74"/>
      <c r="AH53" s="82"/>
      <c r="AI53" s="82"/>
      <c r="AJ53" s="82"/>
      <c r="AK53" s="74"/>
      <c r="AL53" s="74"/>
      <c r="AM53" s="74"/>
      <c r="AN53" s="74"/>
      <c r="AO53" s="74"/>
      <c r="AP53" s="74"/>
      <c r="XFB53" s="82"/>
    </row>
    <row r="54" spans="23:42 16382:16382" ht="30" customHeight="1">
      <c r="W54" s="75"/>
      <c r="X54" s="73"/>
      <c r="Y54" s="105" t="s">
        <v>638</v>
      </c>
      <c r="Z54" s="105"/>
      <c r="AA54" s="105"/>
      <c r="AB54" s="105"/>
      <c r="AC54" s="105"/>
      <c r="AD54" s="79" t="s">
        <v>671</v>
      </c>
      <c r="AE54" s="74"/>
      <c r="AF54" s="74"/>
      <c r="AG54" s="74"/>
      <c r="AH54" s="74"/>
      <c r="AI54" s="82"/>
      <c r="AJ54" s="82"/>
      <c r="AK54" s="82"/>
      <c r="AL54" s="74"/>
      <c r="AM54" s="74"/>
      <c r="AN54" s="74"/>
      <c r="AO54" s="74"/>
      <c r="AP54" s="74"/>
    </row>
    <row r="55" spans="23:42 16382:16382" ht="30" customHeight="1">
      <c r="W55" s="76"/>
      <c r="X55" s="108" t="s">
        <v>653</v>
      </c>
      <c r="Y55" s="108"/>
      <c r="Z55" s="108"/>
      <c r="AA55" s="108"/>
      <c r="AB55" s="108"/>
      <c r="AC55" s="108"/>
      <c r="AD55" s="80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</row>
    <row r="56" spans="23:42 16382:16382" ht="30" customHeight="1">
      <c r="W56" s="75"/>
      <c r="X56" s="73"/>
      <c r="Y56" s="105" t="s">
        <v>654</v>
      </c>
      <c r="Z56" s="105"/>
      <c r="AA56" s="105"/>
      <c r="AB56" s="105"/>
      <c r="AC56" s="105"/>
      <c r="AD56" s="79" t="s">
        <v>671</v>
      </c>
      <c r="AE56" s="74"/>
      <c r="AF56" s="74"/>
      <c r="AG56" s="74"/>
      <c r="AH56" s="74"/>
      <c r="AI56" s="74"/>
      <c r="AJ56" s="82"/>
      <c r="AK56" s="82"/>
      <c r="AL56" s="82"/>
      <c r="AM56" s="74"/>
      <c r="AN56" s="74"/>
      <c r="AO56" s="74"/>
      <c r="AP56" s="74"/>
    </row>
    <row r="57" spans="23:42 16382:16382" ht="30" customHeight="1">
      <c r="W57" s="75"/>
      <c r="X57" s="73"/>
      <c r="Y57" s="111" t="s">
        <v>639</v>
      </c>
      <c r="Z57" s="111"/>
      <c r="AA57" s="111"/>
      <c r="AB57" s="111"/>
      <c r="AC57" s="111"/>
      <c r="AD57" s="79" t="s">
        <v>671</v>
      </c>
      <c r="AE57" s="74"/>
      <c r="AF57" s="74"/>
      <c r="AG57" s="74"/>
      <c r="AH57" s="74"/>
      <c r="AI57" s="74"/>
      <c r="AJ57" s="74"/>
      <c r="AK57" s="82"/>
      <c r="AL57" s="82"/>
      <c r="AM57" s="82"/>
      <c r="AN57" s="74"/>
      <c r="AO57" s="74"/>
      <c r="AP57" s="74"/>
    </row>
    <row r="58" spans="23:42 16382:16382" ht="30" customHeight="1">
      <c r="W58" s="75"/>
      <c r="X58" s="73"/>
      <c r="Y58" s="111" t="s">
        <v>640</v>
      </c>
      <c r="Z58" s="111"/>
      <c r="AA58" s="111"/>
      <c r="AB58" s="111"/>
      <c r="AC58" s="111"/>
      <c r="AD58" s="79" t="s">
        <v>670</v>
      </c>
      <c r="AE58" s="74"/>
      <c r="AF58" s="74"/>
      <c r="AG58" s="74"/>
      <c r="AH58" s="74"/>
      <c r="AI58" s="74"/>
      <c r="AJ58" s="74"/>
      <c r="AK58" s="74"/>
      <c r="AL58" s="82"/>
      <c r="AM58" s="82"/>
      <c r="AN58" s="74"/>
      <c r="AO58" s="74"/>
      <c r="AP58" s="74"/>
    </row>
    <row r="59" spans="23:42 16382:16382" ht="30" customHeight="1">
      <c r="W59" s="75"/>
      <c r="X59" s="73"/>
      <c r="Y59" s="105" t="s">
        <v>641</v>
      </c>
      <c r="Z59" s="105"/>
      <c r="AA59" s="105"/>
      <c r="AB59" s="105"/>
      <c r="AC59" s="105"/>
      <c r="AD59" s="79" t="s">
        <v>670</v>
      </c>
      <c r="AE59" s="74"/>
      <c r="AF59" s="74"/>
      <c r="AG59" s="74"/>
      <c r="AH59" s="74"/>
      <c r="AI59" s="74"/>
      <c r="AJ59" s="74"/>
      <c r="AK59" s="74"/>
      <c r="AL59" s="74"/>
      <c r="AM59" s="82"/>
      <c r="AN59" s="82"/>
      <c r="AO59" s="74"/>
      <c r="AP59" s="74"/>
    </row>
    <row r="60" spans="23:42 16382:16382" ht="30" customHeight="1">
      <c r="W60" s="75"/>
      <c r="X60" s="73"/>
      <c r="Y60" s="105" t="s">
        <v>655</v>
      </c>
      <c r="Z60" s="105"/>
      <c r="AA60" s="105"/>
      <c r="AB60" s="105"/>
      <c r="AC60" s="105"/>
      <c r="AD60" s="79" t="s">
        <v>670</v>
      </c>
      <c r="AE60" s="74"/>
      <c r="AF60" s="74"/>
      <c r="AG60" s="74"/>
      <c r="AH60" s="74"/>
      <c r="AI60" s="74"/>
      <c r="AJ60" s="74"/>
      <c r="AK60" s="74"/>
      <c r="AL60" s="74"/>
      <c r="AM60" s="82"/>
      <c r="AN60" s="82"/>
      <c r="AO60" s="74"/>
      <c r="AP60" s="74"/>
    </row>
    <row r="61" spans="23:42 16382:16382" ht="30" customHeight="1">
      <c r="W61" s="75"/>
      <c r="X61" s="73"/>
      <c r="Y61" s="105" t="s">
        <v>642</v>
      </c>
      <c r="Z61" s="105"/>
      <c r="AA61" s="105"/>
      <c r="AB61" s="105"/>
      <c r="AC61" s="105"/>
      <c r="AD61" s="79" t="s">
        <v>670</v>
      </c>
      <c r="AE61" s="74"/>
      <c r="AF61" s="74"/>
      <c r="AG61" s="74"/>
      <c r="AH61" s="74"/>
      <c r="AI61" s="74"/>
      <c r="AJ61" s="74"/>
      <c r="AK61" s="74"/>
      <c r="AL61" s="74"/>
      <c r="AM61" s="82"/>
      <c r="AN61" s="82"/>
      <c r="AO61" s="74"/>
      <c r="AP61" s="74"/>
    </row>
    <row r="62" spans="23:42 16382:16382" ht="30" customHeight="1">
      <c r="W62" s="106" t="s">
        <v>656</v>
      </c>
      <c r="X62" s="106"/>
      <c r="Y62" s="106"/>
      <c r="Z62" s="106"/>
      <c r="AA62" s="106"/>
      <c r="AB62" s="106"/>
      <c r="AC62" s="106"/>
      <c r="AD62" s="79" t="s">
        <v>670</v>
      </c>
      <c r="AE62" s="74"/>
      <c r="AF62" s="74"/>
      <c r="AG62" s="74"/>
      <c r="AH62" s="74"/>
      <c r="AI62" s="74"/>
      <c r="AJ62" s="74"/>
      <c r="AK62" s="74"/>
      <c r="AL62" s="74"/>
      <c r="AM62" s="74"/>
      <c r="AN62" s="82"/>
      <c r="AO62" s="82"/>
      <c r="AP62" s="82"/>
    </row>
    <row r="63" spans="23:42 16382:16382" ht="30" customHeight="1">
      <c r="W63" s="106" t="s">
        <v>657</v>
      </c>
      <c r="X63" s="106"/>
      <c r="Y63" s="106"/>
      <c r="Z63" s="106"/>
      <c r="AA63" s="106"/>
      <c r="AB63" s="106"/>
      <c r="AC63" s="106"/>
      <c r="AD63" s="79" t="s">
        <v>671</v>
      </c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82"/>
      <c r="AP63" s="82"/>
    </row>
  </sheetData>
  <mergeCells count="36">
    <mergeCell ref="H19:J19"/>
    <mergeCell ref="B4:E4"/>
    <mergeCell ref="N24:O24"/>
    <mergeCell ref="M23:N23"/>
    <mergeCell ref="L21:M21"/>
    <mergeCell ref="F17:H17"/>
    <mergeCell ref="F18:H18"/>
    <mergeCell ref="W63:AC63"/>
    <mergeCell ref="W36:AC37"/>
    <mergeCell ref="X55:AC55"/>
    <mergeCell ref="Y56:AC56"/>
    <mergeCell ref="Y57:AC57"/>
    <mergeCell ref="Y58:AC58"/>
    <mergeCell ref="Y59:AC59"/>
    <mergeCell ref="X50:AC50"/>
    <mergeCell ref="Y51:AC51"/>
    <mergeCell ref="Y52:AC52"/>
    <mergeCell ref="Y53:AC53"/>
    <mergeCell ref="Y54:AC54"/>
    <mergeCell ref="Y45:AC45"/>
    <mergeCell ref="Y46:AC46"/>
    <mergeCell ref="Y47:AC47"/>
    <mergeCell ref="Y48:AC48"/>
    <mergeCell ref="W33:AP35"/>
    <mergeCell ref="AD36:AD37"/>
    <mergeCell ref="Y60:AC60"/>
    <mergeCell ref="Y61:AC61"/>
    <mergeCell ref="W62:AC62"/>
    <mergeCell ref="Y49:AC49"/>
    <mergeCell ref="W43:AC43"/>
    <mergeCell ref="X41:AC41"/>
    <mergeCell ref="X42:AC42"/>
    <mergeCell ref="X44:AC44"/>
    <mergeCell ref="W38:AC38"/>
    <mergeCell ref="W39:AC39"/>
    <mergeCell ref="W40:AC4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E8FE-79EA-5544-BD98-B77816846C15}">
  <dimension ref="B3:V147"/>
  <sheetViews>
    <sheetView topLeftCell="D17" zoomScale="75" zoomScaleNormal="100" workbookViewId="0">
      <selection activeCell="M132" sqref="M132"/>
    </sheetView>
  </sheetViews>
  <sheetFormatPr baseColWidth="10" defaultRowHeight="23"/>
  <cols>
    <col min="2" max="2" width="3.5" style="2" customWidth="1"/>
    <col min="3" max="3" width="17.375" customWidth="1"/>
    <col min="12" max="12" width="10.625" style="46"/>
    <col min="15" max="15" width="13" customWidth="1"/>
    <col min="16" max="16" width="26.25" customWidth="1"/>
    <col min="18" max="18" width="21" customWidth="1"/>
    <col min="27" max="27" width="10.625" customWidth="1"/>
  </cols>
  <sheetData>
    <row r="3" spans="2:22" s="1" customFormat="1" ht="59">
      <c r="B3" s="93" t="s">
        <v>30</v>
      </c>
      <c r="C3" s="93"/>
      <c r="D3" s="93"/>
      <c r="E3" s="93"/>
      <c r="F3" s="93"/>
      <c r="G3" s="93"/>
      <c r="H3" s="93"/>
      <c r="I3" s="93"/>
      <c r="L3" s="2"/>
    </row>
    <row r="4" spans="2:22">
      <c r="B4" s="2">
        <v>1</v>
      </c>
      <c r="C4" t="s">
        <v>31</v>
      </c>
    </row>
    <row r="5" spans="2:22">
      <c r="C5" t="s">
        <v>32</v>
      </c>
      <c r="D5" t="s">
        <v>55</v>
      </c>
    </row>
    <row r="6" spans="2:22">
      <c r="C6" t="s">
        <v>34</v>
      </c>
      <c r="D6" t="s">
        <v>54</v>
      </c>
    </row>
    <row r="7" spans="2:22">
      <c r="C7" t="s">
        <v>33</v>
      </c>
      <c r="D7" t="s">
        <v>35</v>
      </c>
      <c r="V7" s="3"/>
    </row>
    <row r="8" spans="2:22">
      <c r="B8" s="2">
        <v>2</v>
      </c>
      <c r="C8" t="s">
        <v>53</v>
      </c>
      <c r="L8" s="2"/>
      <c r="M8" s="1"/>
    </row>
    <row r="9" spans="2:22">
      <c r="C9" t="s">
        <v>36</v>
      </c>
      <c r="D9" t="s">
        <v>37</v>
      </c>
    </row>
    <row r="10" spans="2:22">
      <c r="C10" t="s">
        <v>38</v>
      </c>
      <c r="D10" t="s">
        <v>39</v>
      </c>
    </row>
    <row r="11" spans="2:22">
      <c r="D11" t="s">
        <v>48</v>
      </c>
    </row>
    <row r="12" spans="2:22">
      <c r="C12" t="s">
        <v>49</v>
      </c>
      <c r="D12" t="s">
        <v>50</v>
      </c>
    </row>
    <row r="13" spans="2:22">
      <c r="C13" t="s">
        <v>51</v>
      </c>
      <c r="D13" t="s">
        <v>52</v>
      </c>
    </row>
    <row r="14" spans="2:22">
      <c r="C14" t="s">
        <v>42</v>
      </c>
      <c r="D14" t="s">
        <v>40</v>
      </c>
    </row>
    <row r="15" spans="2:22">
      <c r="C15" t="s">
        <v>43</v>
      </c>
      <c r="D15" t="s">
        <v>41</v>
      </c>
    </row>
    <row r="16" spans="2:22">
      <c r="C16" t="s">
        <v>44</v>
      </c>
      <c r="D16" t="s">
        <v>45</v>
      </c>
    </row>
    <row r="17" spans="2:22">
      <c r="D17" t="s">
        <v>46</v>
      </c>
    </row>
    <row r="18" spans="2:22">
      <c r="D18" t="s">
        <v>47</v>
      </c>
    </row>
    <row r="20" spans="2:22">
      <c r="R20" s="4"/>
    </row>
    <row r="21" spans="2:22">
      <c r="R21" s="4"/>
    </row>
    <row r="22" spans="2:22" s="1" customFormat="1" ht="59">
      <c r="B22" s="93"/>
      <c r="C22" s="93"/>
      <c r="D22" s="93"/>
      <c r="E22" s="93"/>
      <c r="F22" s="93"/>
      <c r="G22" s="93"/>
      <c r="H22" s="93"/>
      <c r="I22" s="93"/>
      <c r="L22" s="2"/>
      <c r="R22" s="4"/>
    </row>
    <row r="23" spans="2:22">
      <c r="B23" s="2">
        <v>1</v>
      </c>
      <c r="C23" t="s">
        <v>67</v>
      </c>
      <c r="L23" s="2">
        <v>1</v>
      </c>
      <c r="M23" t="s">
        <v>67</v>
      </c>
      <c r="R23" s="5"/>
      <c r="V23" s="3"/>
    </row>
    <row r="24" spans="2:22">
      <c r="B24" s="2">
        <v>2</v>
      </c>
      <c r="C24" t="s">
        <v>68</v>
      </c>
      <c r="L24" s="89">
        <v>2</v>
      </c>
      <c r="M24" t="s">
        <v>690</v>
      </c>
      <c r="N24" s="4"/>
      <c r="O24" s="4"/>
      <c r="R24" s="4"/>
    </row>
    <row r="25" spans="2:22">
      <c r="B25" s="2">
        <v>3</v>
      </c>
      <c r="C25" t="s">
        <v>77</v>
      </c>
      <c r="L25" s="46">
        <v>3</v>
      </c>
      <c r="M25" t="s">
        <v>691</v>
      </c>
      <c r="R25" s="4"/>
    </row>
    <row r="26" spans="2:22">
      <c r="B26" s="2">
        <v>4</v>
      </c>
      <c r="C26" t="s">
        <v>75</v>
      </c>
      <c r="L26" s="46">
        <v>4</v>
      </c>
      <c r="M26" s="4" t="s">
        <v>68</v>
      </c>
      <c r="R26" s="4"/>
    </row>
    <row r="27" spans="2:22">
      <c r="B27" s="2">
        <v>5</v>
      </c>
      <c r="C27" t="s">
        <v>76</v>
      </c>
      <c r="L27" s="46">
        <v>5</v>
      </c>
      <c r="M27" t="s">
        <v>692</v>
      </c>
    </row>
    <row r="28" spans="2:22">
      <c r="B28" s="2">
        <v>6</v>
      </c>
      <c r="C28" t="s">
        <v>69</v>
      </c>
      <c r="L28" s="46">
        <v>6</v>
      </c>
      <c r="M28" t="s">
        <v>687</v>
      </c>
    </row>
    <row r="29" spans="2:22">
      <c r="B29" s="2">
        <v>7</v>
      </c>
      <c r="C29" t="s">
        <v>70</v>
      </c>
      <c r="L29" s="46">
        <v>7</v>
      </c>
      <c r="M29" t="s">
        <v>693</v>
      </c>
    </row>
    <row r="30" spans="2:22">
      <c r="B30" s="2">
        <v>8</v>
      </c>
      <c r="C30" t="s">
        <v>71</v>
      </c>
      <c r="L30" s="46">
        <v>8</v>
      </c>
      <c r="M30" t="s">
        <v>688</v>
      </c>
    </row>
    <row r="31" spans="2:22">
      <c r="B31" s="2">
        <v>9</v>
      </c>
      <c r="C31" t="s">
        <v>72</v>
      </c>
      <c r="L31" s="46">
        <v>9</v>
      </c>
      <c r="M31" t="s">
        <v>689</v>
      </c>
    </row>
    <row r="32" spans="2:22">
      <c r="B32" s="2">
        <v>10</v>
      </c>
      <c r="C32" t="s">
        <v>73</v>
      </c>
      <c r="L32" s="46">
        <v>10</v>
      </c>
      <c r="M32" t="s">
        <v>694</v>
      </c>
      <c r="U32" s="118"/>
      <c r="V32" s="118"/>
    </row>
    <row r="33" spans="2:13">
      <c r="B33" s="2">
        <v>11</v>
      </c>
      <c r="C33" t="s">
        <v>74</v>
      </c>
      <c r="L33" s="46">
        <v>11</v>
      </c>
      <c r="M33" t="s">
        <v>695</v>
      </c>
    </row>
    <row r="34" spans="2:13">
      <c r="B34" s="2">
        <v>12</v>
      </c>
      <c r="C34" t="s">
        <v>78</v>
      </c>
      <c r="L34" s="46">
        <v>12</v>
      </c>
      <c r="M34" t="s">
        <v>696</v>
      </c>
    </row>
    <row r="43" spans="2:13" ht="59">
      <c r="C43" s="119" t="s">
        <v>63</v>
      </c>
      <c r="D43" s="119"/>
      <c r="E43" s="119"/>
      <c r="F43" s="119"/>
      <c r="G43" s="119"/>
      <c r="H43" s="119"/>
      <c r="I43" s="119"/>
      <c r="J43" s="119"/>
    </row>
    <row r="84" ht="21" customHeight="1"/>
    <row r="100" spans="3:10" ht="59">
      <c r="C100" s="119" t="s">
        <v>63</v>
      </c>
      <c r="D100" s="119"/>
      <c r="E100" s="119"/>
      <c r="F100" s="119"/>
      <c r="G100" s="119"/>
      <c r="H100" s="119"/>
      <c r="I100" s="119"/>
      <c r="J100" s="119"/>
    </row>
    <row r="147" spans="3:10" ht="59">
      <c r="C147" s="119" t="s">
        <v>66</v>
      </c>
      <c r="D147" s="119"/>
      <c r="E147" s="119"/>
      <c r="F147" s="119"/>
      <c r="G147" s="119"/>
      <c r="H147" s="119"/>
      <c r="I147" s="119"/>
      <c r="J147" s="119"/>
    </row>
  </sheetData>
  <mergeCells count="6">
    <mergeCell ref="U32:V32"/>
    <mergeCell ref="C147:J147"/>
    <mergeCell ref="C43:J43"/>
    <mergeCell ref="C100:J100"/>
    <mergeCell ref="B3:I3"/>
    <mergeCell ref="B22:I2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94082-DD9A-2649-BB6C-ADAA348D1025}">
  <dimension ref="B3:Z481"/>
  <sheetViews>
    <sheetView topLeftCell="A20" zoomScale="75" zoomScaleNormal="69" workbookViewId="0">
      <selection activeCell="I43" sqref="I43:I58"/>
    </sheetView>
  </sheetViews>
  <sheetFormatPr baseColWidth="10" defaultRowHeight="20"/>
  <cols>
    <col min="1" max="1" width="10.625" style="22"/>
    <col min="2" max="2" width="11.5" style="22" customWidth="1"/>
    <col min="3" max="3" width="24" style="22" customWidth="1"/>
    <col min="4" max="4" width="15.875" style="23" customWidth="1"/>
    <col min="5" max="5" width="27.25" style="24" customWidth="1"/>
    <col min="6" max="6" width="26.375" style="22" customWidth="1"/>
    <col min="7" max="7" width="10.625" style="23"/>
    <col min="8" max="8" width="10.625" style="25"/>
    <col min="9" max="13" width="10.625" style="22"/>
    <col min="14" max="14" width="34.125" style="22" customWidth="1"/>
    <col min="15" max="15" width="53.375" style="22" customWidth="1"/>
    <col min="16" max="16" width="15.5" style="22" customWidth="1"/>
    <col min="17" max="17" width="45" style="22" customWidth="1"/>
    <col min="18" max="18" width="15.75" style="41" customWidth="1"/>
    <col min="19" max="16384" width="10.625" style="22"/>
  </cols>
  <sheetData>
    <row r="3" spans="2:6">
      <c r="B3" s="22" t="s">
        <v>99</v>
      </c>
      <c r="C3" s="22" t="s">
        <v>102</v>
      </c>
      <c r="D3" s="23" t="s">
        <v>111</v>
      </c>
      <c r="E3" s="24" t="s">
        <v>105</v>
      </c>
      <c r="F3" s="22" t="s">
        <v>107</v>
      </c>
    </row>
    <row r="4" spans="2:6">
      <c r="B4" s="22" t="s">
        <v>90</v>
      </c>
      <c r="C4" s="22" t="s">
        <v>103</v>
      </c>
      <c r="D4" s="23" t="s">
        <v>112</v>
      </c>
      <c r="E4" s="24" t="s">
        <v>106</v>
      </c>
    </row>
    <row r="5" spans="2:6">
      <c r="B5" s="22" t="s">
        <v>91</v>
      </c>
      <c r="C5" s="22" t="s">
        <v>104</v>
      </c>
      <c r="D5" s="23" t="s">
        <v>112</v>
      </c>
    </row>
    <row r="6" spans="2:6">
      <c r="B6" s="22" t="s">
        <v>101</v>
      </c>
      <c r="C6" s="22" t="s">
        <v>110</v>
      </c>
      <c r="D6" s="23" t="s">
        <v>112</v>
      </c>
    </row>
    <row r="9" spans="2:6">
      <c r="B9" s="22" t="s">
        <v>117</v>
      </c>
      <c r="C9" s="22" t="s">
        <v>116</v>
      </c>
      <c r="D9" s="23" t="s">
        <v>111</v>
      </c>
      <c r="E9" s="24" t="s">
        <v>105</v>
      </c>
      <c r="F9" s="22" t="s">
        <v>107</v>
      </c>
    </row>
    <row r="10" spans="2:6">
      <c r="B10" s="22" t="s">
        <v>98</v>
      </c>
      <c r="C10" s="22" t="s">
        <v>136</v>
      </c>
      <c r="D10" s="23" t="s">
        <v>119</v>
      </c>
      <c r="E10" s="24" t="s">
        <v>106</v>
      </c>
    </row>
    <row r="11" spans="2:6">
      <c r="B11" s="22" t="s">
        <v>90</v>
      </c>
      <c r="C11" s="22" t="s">
        <v>103</v>
      </c>
      <c r="D11" s="23" t="s">
        <v>112</v>
      </c>
      <c r="E11" s="24" t="s">
        <v>121</v>
      </c>
      <c r="F11" s="22" t="s">
        <v>102</v>
      </c>
    </row>
    <row r="12" spans="2:6">
      <c r="B12" s="22" t="s">
        <v>92</v>
      </c>
      <c r="C12" s="22" t="s">
        <v>79</v>
      </c>
      <c r="D12" s="23" t="s">
        <v>112</v>
      </c>
    </row>
    <row r="13" spans="2:6">
      <c r="B13" s="22" t="s">
        <v>118</v>
      </c>
      <c r="C13" s="22" t="s">
        <v>80</v>
      </c>
      <c r="D13" s="23" t="s">
        <v>120</v>
      </c>
    </row>
    <row r="14" spans="2:6">
      <c r="B14" s="22" t="s">
        <v>100</v>
      </c>
      <c r="C14" s="22" t="s">
        <v>108</v>
      </c>
      <c r="D14" s="23" t="s">
        <v>113</v>
      </c>
      <c r="E14" s="24" t="s">
        <v>115</v>
      </c>
    </row>
    <row r="15" spans="2:6">
      <c r="B15" s="22" t="s">
        <v>93</v>
      </c>
      <c r="C15" s="22" t="s">
        <v>109</v>
      </c>
      <c r="D15" s="23" t="s">
        <v>114</v>
      </c>
    </row>
    <row r="17" spans="2:6">
      <c r="B17" s="22" t="s">
        <v>122</v>
      </c>
      <c r="C17" s="22" t="s">
        <v>88</v>
      </c>
      <c r="D17" s="23" t="s">
        <v>111</v>
      </c>
      <c r="E17" s="24" t="s">
        <v>105</v>
      </c>
      <c r="F17" s="22" t="s">
        <v>107</v>
      </c>
    </row>
    <row r="18" spans="2:6">
      <c r="B18" s="22" t="s">
        <v>94</v>
      </c>
      <c r="C18" s="22" t="s">
        <v>127</v>
      </c>
      <c r="D18" s="23" t="s">
        <v>120</v>
      </c>
      <c r="E18" s="24" t="s">
        <v>106</v>
      </c>
    </row>
    <row r="19" spans="2:6">
      <c r="B19" s="22" t="s">
        <v>123</v>
      </c>
      <c r="C19" s="22" t="s">
        <v>81</v>
      </c>
      <c r="D19" s="23" t="s">
        <v>113</v>
      </c>
    </row>
    <row r="20" spans="2:6">
      <c r="B20" s="22" t="s">
        <v>124</v>
      </c>
      <c r="C20" s="22" t="s">
        <v>128</v>
      </c>
      <c r="D20" s="23" t="s">
        <v>132</v>
      </c>
    </row>
    <row r="21" spans="2:6">
      <c r="B21" s="22" t="s">
        <v>125</v>
      </c>
      <c r="C21" s="22" t="s">
        <v>83</v>
      </c>
      <c r="D21" s="23" t="s">
        <v>131</v>
      </c>
    </row>
    <row r="22" spans="2:6">
      <c r="B22" s="22" t="s">
        <v>126</v>
      </c>
      <c r="C22" s="22" t="s">
        <v>82</v>
      </c>
      <c r="D22" s="23" t="s">
        <v>130</v>
      </c>
      <c r="E22" s="24" t="s">
        <v>133</v>
      </c>
    </row>
    <row r="23" spans="2:6">
      <c r="B23" s="22" t="s">
        <v>84</v>
      </c>
      <c r="C23" s="22" t="s">
        <v>129</v>
      </c>
      <c r="D23" s="23" t="s">
        <v>87</v>
      </c>
    </row>
    <row r="24" spans="2:6">
      <c r="B24" s="22" t="s">
        <v>85</v>
      </c>
      <c r="C24" s="22" t="s">
        <v>86</v>
      </c>
      <c r="D24" s="23" t="s">
        <v>87</v>
      </c>
    </row>
    <row r="26" spans="2:6">
      <c r="B26" s="22" t="s">
        <v>134</v>
      </c>
      <c r="C26" s="22" t="s">
        <v>135</v>
      </c>
      <c r="D26" s="23" t="s">
        <v>111</v>
      </c>
      <c r="E26" s="24" t="s">
        <v>105</v>
      </c>
      <c r="F26" s="22" t="s">
        <v>107</v>
      </c>
    </row>
    <row r="27" spans="2:6">
      <c r="B27" s="22" t="s">
        <v>98</v>
      </c>
      <c r="C27" s="22" t="s">
        <v>136</v>
      </c>
      <c r="D27" s="23" t="s">
        <v>120</v>
      </c>
      <c r="E27" s="24" t="s">
        <v>121</v>
      </c>
      <c r="F27" s="22" t="s">
        <v>116</v>
      </c>
    </row>
    <row r="28" spans="2:6">
      <c r="B28" s="22" t="s">
        <v>94</v>
      </c>
      <c r="C28" s="22" t="s">
        <v>127</v>
      </c>
      <c r="D28" s="23" t="s">
        <v>120</v>
      </c>
      <c r="E28" s="24" t="s">
        <v>121</v>
      </c>
      <c r="F28" s="22" t="s">
        <v>88</v>
      </c>
    </row>
    <row r="29" spans="2:6">
      <c r="B29" s="22" t="s">
        <v>84</v>
      </c>
      <c r="C29" s="22" t="s">
        <v>129</v>
      </c>
      <c r="D29" s="23" t="s">
        <v>87</v>
      </c>
    </row>
    <row r="30" spans="2:6">
      <c r="B30" s="22" t="s">
        <v>85</v>
      </c>
      <c r="C30" s="22" t="s">
        <v>86</v>
      </c>
      <c r="D30" s="23" t="s">
        <v>87</v>
      </c>
    </row>
    <row r="31" spans="2:6">
      <c r="B31" s="22" t="s">
        <v>137</v>
      </c>
      <c r="C31" s="22" t="s">
        <v>139</v>
      </c>
      <c r="D31" s="23" t="s">
        <v>120</v>
      </c>
    </row>
    <row r="32" spans="2:6">
      <c r="B32" s="22" t="s">
        <v>138</v>
      </c>
      <c r="C32" s="22" t="s">
        <v>140</v>
      </c>
      <c r="D32" s="23" t="s">
        <v>141</v>
      </c>
    </row>
    <row r="35" spans="2:26">
      <c r="L35" s="26"/>
    </row>
    <row r="40" spans="2:26" s="27" customFormat="1">
      <c r="D40" s="28"/>
      <c r="E40" s="29"/>
      <c r="G40" s="28"/>
      <c r="H40" s="30"/>
      <c r="R40" s="42"/>
    </row>
    <row r="41" spans="2:26" s="27" customFormat="1">
      <c r="D41" s="28"/>
      <c r="E41" s="29"/>
      <c r="G41" s="28"/>
      <c r="H41" s="30"/>
      <c r="R41" s="42"/>
    </row>
    <row r="43" spans="2:26" ht="27">
      <c r="B43" s="37" t="s">
        <v>335</v>
      </c>
      <c r="I43" s="22" t="s">
        <v>97</v>
      </c>
      <c r="Q43" s="31" t="s">
        <v>180</v>
      </c>
      <c r="Z43" s="31" t="s">
        <v>183</v>
      </c>
    </row>
    <row r="44" spans="2:26" ht="23">
      <c r="B44" s="38" t="s">
        <v>336</v>
      </c>
      <c r="I44" s="22" t="s">
        <v>185</v>
      </c>
      <c r="Q44" s="22" t="s">
        <v>176</v>
      </c>
      <c r="Z44" s="22" t="s">
        <v>181</v>
      </c>
    </row>
    <row r="45" spans="2:26" ht="23">
      <c r="B45" s="39" t="s">
        <v>337</v>
      </c>
      <c r="I45" s="22" t="s">
        <v>186</v>
      </c>
      <c r="Q45" s="22" t="s">
        <v>283</v>
      </c>
      <c r="Z45" s="22" t="s">
        <v>284</v>
      </c>
    </row>
    <row r="46" spans="2:26" ht="23">
      <c r="B46" s="39" t="s">
        <v>338</v>
      </c>
      <c r="I46" s="22" t="s">
        <v>187</v>
      </c>
      <c r="Q46" s="22" t="s">
        <v>285</v>
      </c>
      <c r="Z46" s="22" t="s">
        <v>286</v>
      </c>
    </row>
    <row r="47" spans="2:26" ht="23">
      <c r="B47" s="39" t="s">
        <v>339</v>
      </c>
      <c r="I47" s="22" t="s">
        <v>188</v>
      </c>
      <c r="Q47" s="22" t="s">
        <v>287</v>
      </c>
      <c r="Z47" s="22" t="s">
        <v>288</v>
      </c>
    </row>
    <row r="48" spans="2:26" ht="23">
      <c r="B48" s="40" t="s">
        <v>340</v>
      </c>
      <c r="I48" s="22" t="s">
        <v>189</v>
      </c>
      <c r="Q48" s="22" t="s">
        <v>289</v>
      </c>
      <c r="Z48" s="22" t="s">
        <v>290</v>
      </c>
    </row>
    <row r="49" spans="2:26">
      <c r="B49"/>
      <c r="Q49" s="22" t="s">
        <v>291</v>
      </c>
      <c r="Z49" s="22" t="s">
        <v>292</v>
      </c>
    </row>
    <row r="50" spans="2:26" ht="23">
      <c r="B50" s="37" t="s">
        <v>95</v>
      </c>
      <c r="Q50" s="22" t="s">
        <v>177</v>
      </c>
      <c r="Z50" s="22" t="s">
        <v>293</v>
      </c>
    </row>
    <row r="51" spans="2:26" ht="23">
      <c r="B51" s="38" t="s">
        <v>341</v>
      </c>
      <c r="Q51" s="22" t="s">
        <v>178</v>
      </c>
      <c r="Z51" s="22" t="s">
        <v>294</v>
      </c>
    </row>
    <row r="52" spans="2:26" ht="23">
      <c r="B52" s="39" t="s">
        <v>342</v>
      </c>
      <c r="Q52" s="22" t="s">
        <v>295</v>
      </c>
      <c r="Z52" s="22" t="s">
        <v>175</v>
      </c>
    </row>
    <row r="53" spans="2:26" ht="23">
      <c r="B53" s="39" t="s">
        <v>343</v>
      </c>
      <c r="I53" s="22" t="s">
        <v>96</v>
      </c>
      <c r="Q53" s="22" t="s">
        <v>296</v>
      </c>
      <c r="Z53" s="22" t="s">
        <v>297</v>
      </c>
    </row>
    <row r="54" spans="2:26" ht="23">
      <c r="B54" s="39" t="s">
        <v>344</v>
      </c>
      <c r="I54" s="22" t="s">
        <v>684</v>
      </c>
      <c r="Q54" s="22" t="s">
        <v>298</v>
      </c>
      <c r="Z54" s="22" t="s">
        <v>299</v>
      </c>
    </row>
    <row r="55" spans="2:26" ht="23">
      <c r="B55" s="39" t="s">
        <v>345</v>
      </c>
      <c r="I55" s="22" t="s">
        <v>186</v>
      </c>
      <c r="Q55" s="22" t="s">
        <v>300</v>
      </c>
      <c r="Z55" s="22" t="s">
        <v>301</v>
      </c>
    </row>
    <row r="56" spans="2:26" ht="23">
      <c r="B56" s="39" t="s">
        <v>346</v>
      </c>
      <c r="I56" s="22" t="s">
        <v>187</v>
      </c>
      <c r="Q56" s="22" t="s">
        <v>302</v>
      </c>
      <c r="Z56" s="22" t="s">
        <v>303</v>
      </c>
    </row>
    <row r="57" spans="2:26" ht="23">
      <c r="B57" s="39" t="s">
        <v>347</v>
      </c>
      <c r="I57" s="22" t="s">
        <v>188</v>
      </c>
      <c r="Q57" s="22" t="s">
        <v>304</v>
      </c>
      <c r="Z57" s="22" t="s">
        <v>305</v>
      </c>
    </row>
    <row r="58" spans="2:26" ht="23">
      <c r="B58" s="38" t="s">
        <v>348</v>
      </c>
      <c r="I58" s="22" t="s">
        <v>189</v>
      </c>
      <c r="Q58" s="22" t="s">
        <v>306</v>
      </c>
      <c r="Z58" s="22" t="s">
        <v>178</v>
      </c>
    </row>
    <row r="59" spans="2:26" ht="23">
      <c r="B59" s="40" t="s">
        <v>340</v>
      </c>
      <c r="Q59" s="22" t="s">
        <v>307</v>
      </c>
      <c r="Z59" s="22" t="s">
        <v>308</v>
      </c>
    </row>
    <row r="60" spans="2:26">
      <c r="B60"/>
      <c r="Q60" s="22" t="s">
        <v>309</v>
      </c>
      <c r="Z60" s="22" t="s">
        <v>310</v>
      </c>
    </row>
    <row r="61" spans="2:26" ht="23">
      <c r="B61" s="37" t="s">
        <v>161</v>
      </c>
      <c r="Q61" s="22" t="s">
        <v>311</v>
      </c>
      <c r="Z61" s="22" t="s">
        <v>312</v>
      </c>
    </row>
    <row r="62" spans="2:26">
      <c r="B62"/>
      <c r="Q62" s="22" t="s">
        <v>313</v>
      </c>
      <c r="Z62" s="22" t="s">
        <v>314</v>
      </c>
    </row>
    <row r="63" spans="2:26" ht="23">
      <c r="B63" s="37" t="s">
        <v>89</v>
      </c>
      <c r="Q63" s="22" t="s">
        <v>315</v>
      </c>
      <c r="Z63" s="22" t="s">
        <v>316</v>
      </c>
    </row>
    <row r="64" spans="2:26" ht="23">
      <c r="B64" s="38" t="s">
        <v>349</v>
      </c>
      <c r="Q64" s="22" t="s">
        <v>317</v>
      </c>
      <c r="Z64" s="22" t="s">
        <v>318</v>
      </c>
    </row>
    <row r="65" spans="2:26" ht="23">
      <c r="B65" s="39" t="s">
        <v>350</v>
      </c>
      <c r="Q65" s="22" t="s">
        <v>179</v>
      </c>
      <c r="Z65" s="22" t="s">
        <v>319</v>
      </c>
    </row>
    <row r="66" spans="2:26" ht="23">
      <c r="B66" s="39" t="s">
        <v>351</v>
      </c>
      <c r="Z66" s="22" t="s">
        <v>320</v>
      </c>
    </row>
    <row r="67" spans="2:26" ht="23">
      <c r="B67" s="39" t="s">
        <v>352</v>
      </c>
      <c r="Z67" s="22" t="s">
        <v>321</v>
      </c>
    </row>
    <row r="68" spans="2:26" ht="23">
      <c r="B68" s="39" t="s">
        <v>353</v>
      </c>
      <c r="Z68" s="22" t="s">
        <v>322</v>
      </c>
    </row>
    <row r="69" spans="2:26" ht="23">
      <c r="B69" s="39" t="s">
        <v>354</v>
      </c>
      <c r="Z69" s="22" t="s">
        <v>323</v>
      </c>
    </row>
    <row r="70" spans="2:26" ht="23">
      <c r="B70" s="39" t="s">
        <v>355</v>
      </c>
      <c r="Z70" s="22" t="s">
        <v>324</v>
      </c>
    </row>
    <row r="71" spans="2:26" ht="23">
      <c r="B71" s="39" t="s">
        <v>356</v>
      </c>
      <c r="Z71" s="22" t="s">
        <v>182</v>
      </c>
    </row>
    <row r="72" spans="2:26" ht="27">
      <c r="B72" s="40" t="s">
        <v>340</v>
      </c>
      <c r="K72" s="31"/>
    </row>
    <row r="73" spans="2:26" ht="27">
      <c r="B73"/>
      <c r="K73" s="31"/>
    </row>
    <row r="74" spans="2:26" ht="27">
      <c r="B74" s="37" t="s">
        <v>357</v>
      </c>
      <c r="K74" s="31"/>
    </row>
    <row r="75" spans="2:26" ht="27">
      <c r="B75" s="38" t="s">
        <v>358</v>
      </c>
      <c r="K75" s="31"/>
    </row>
    <row r="76" spans="2:26" ht="27">
      <c r="B76" s="39" t="s">
        <v>359</v>
      </c>
      <c r="K76" s="31"/>
    </row>
    <row r="77" spans="2:26" ht="27">
      <c r="B77" s="39" t="s">
        <v>360</v>
      </c>
      <c r="K77" s="31"/>
    </row>
    <row r="78" spans="2:26" ht="27">
      <c r="B78" s="39" t="s">
        <v>361</v>
      </c>
      <c r="K78" s="31"/>
    </row>
    <row r="79" spans="2:26" ht="27">
      <c r="B79" s="39" t="s">
        <v>362</v>
      </c>
      <c r="K79" s="31"/>
    </row>
    <row r="80" spans="2:26" ht="27">
      <c r="B80" s="39" t="s">
        <v>363</v>
      </c>
      <c r="K80" s="31"/>
    </row>
    <row r="81" spans="2:18" ht="27">
      <c r="B81" s="39" t="s">
        <v>364</v>
      </c>
      <c r="K81" s="31"/>
    </row>
    <row r="82" spans="2:18" ht="27">
      <c r="B82" s="38" t="s">
        <v>365</v>
      </c>
      <c r="K82" s="31"/>
    </row>
    <row r="83" spans="2:18" ht="27">
      <c r="B83" s="38" t="s">
        <v>366</v>
      </c>
      <c r="K83" s="31"/>
    </row>
    <row r="84" spans="2:18" ht="27">
      <c r="B84" s="40" t="s">
        <v>340</v>
      </c>
      <c r="K84" s="31"/>
    </row>
    <row r="85" spans="2:18" ht="27">
      <c r="B85" s="31"/>
      <c r="K85" s="31"/>
    </row>
    <row r="86" spans="2:18" ht="27">
      <c r="E86" s="36"/>
      <c r="K86" s="31"/>
    </row>
    <row r="87" spans="2:18">
      <c r="C87" s="22" t="s">
        <v>256</v>
      </c>
    </row>
    <row r="89" spans="2:18" s="27" customFormat="1">
      <c r="D89" s="28"/>
      <c r="E89" s="29"/>
      <c r="G89" s="28"/>
      <c r="H89" s="30"/>
      <c r="R89" s="42"/>
    </row>
    <row r="90" spans="2:18" s="27" customFormat="1">
      <c r="D90" s="28"/>
      <c r="E90" s="29"/>
      <c r="G90" s="28"/>
      <c r="H90" s="30"/>
      <c r="R90" s="42"/>
    </row>
    <row r="92" spans="2:18" ht="27">
      <c r="B92" s="31"/>
      <c r="C92" s="31"/>
      <c r="D92" s="31"/>
      <c r="F92" s="32"/>
    </row>
    <row r="93" spans="2:18" ht="23">
      <c r="B93" s="38" t="s">
        <v>325</v>
      </c>
      <c r="C93" s="33"/>
      <c r="D93" s="34"/>
      <c r="E93" s="35"/>
    </row>
    <row r="94" spans="2:18" ht="23">
      <c r="B94" s="38" t="s">
        <v>267</v>
      </c>
      <c r="C94" s="33"/>
      <c r="D94" s="34"/>
      <c r="E94" s="35"/>
    </row>
    <row r="95" spans="2:18" ht="23">
      <c r="B95" s="38" t="s">
        <v>268</v>
      </c>
      <c r="C95" s="33"/>
      <c r="D95" s="34"/>
      <c r="E95" s="35"/>
    </row>
    <row r="96" spans="2:18" ht="23">
      <c r="B96" s="38" t="s">
        <v>326</v>
      </c>
      <c r="C96" s="33"/>
      <c r="D96" s="34"/>
      <c r="E96" s="35"/>
    </row>
    <row r="97" spans="2:5" ht="23">
      <c r="B97" s="38" t="s">
        <v>269</v>
      </c>
      <c r="C97" s="33"/>
      <c r="D97" s="34"/>
      <c r="E97" s="35"/>
    </row>
    <row r="98" spans="2:5" ht="23">
      <c r="B98" s="38" t="s">
        <v>258</v>
      </c>
      <c r="C98" s="33"/>
      <c r="D98" s="34"/>
      <c r="E98" s="35"/>
    </row>
    <row r="99" spans="2:5" ht="23">
      <c r="B99" s="38" t="s">
        <v>327</v>
      </c>
      <c r="C99" s="33"/>
      <c r="D99" s="34"/>
      <c r="E99" s="35"/>
    </row>
    <row r="100" spans="2:5" ht="23">
      <c r="B100" s="38" t="s">
        <v>328</v>
      </c>
      <c r="C100" s="33"/>
      <c r="D100" s="34"/>
      <c r="E100" s="35"/>
    </row>
    <row r="101" spans="2:5" ht="23">
      <c r="B101" s="38" t="s">
        <v>329</v>
      </c>
      <c r="C101" s="33"/>
      <c r="D101" s="34"/>
      <c r="E101" s="35"/>
    </row>
    <row r="102" spans="2:5" ht="23">
      <c r="B102" s="38" t="s">
        <v>330</v>
      </c>
      <c r="C102" s="33"/>
      <c r="D102" s="34"/>
      <c r="E102" s="35"/>
    </row>
    <row r="103" spans="2:5" ht="23">
      <c r="B103" s="38" t="s">
        <v>331</v>
      </c>
      <c r="C103" s="33"/>
      <c r="D103" s="34"/>
      <c r="E103" s="35"/>
    </row>
    <row r="104" spans="2:5" ht="23">
      <c r="B104" s="38" t="s">
        <v>270</v>
      </c>
      <c r="C104" s="33"/>
      <c r="D104" s="34"/>
      <c r="E104" s="35"/>
    </row>
    <row r="105" spans="2:5" ht="23">
      <c r="B105" s="38" t="s">
        <v>259</v>
      </c>
      <c r="C105" s="33"/>
      <c r="D105" s="34"/>
      <c r="E105" s="35"/>
    </row>
    <row r="106" spans="2:5" ht="23">
      <c r="B106" s="38" t="s">
        <v>332</v>
      </c>
      <c r="C106" s="33"/>
      <c r="D106" s="34"/>
      <c r="E106" s="35"/>
    </row>
    <row r="107" spans="2:5" ht="23">
      <c r="B107" s="38" t="s">
        <v>273</v>
      </c>
      <c r="C107" s="33"/>
      <c r="D107" s="34"/>
      <c r="E107" s="35"/>
    </row>
    <row r="108" spans="2:5" ht="23">
      <c r="B108" s="38" t="s">
        <v>260</v>
      </c>
      <c r="C108" s="33"/>
      <c r="D108" s="34"/>
      <c r="E108" s="35"/>
    </row>
    <row r="109" spans="2:5" ht="23">
      <c r="B109" s="38" t="s">
        <v>271</v>
      </c>
      <c r="C109" s="33"/>
      <c r="D109" s="34"/>
      <c r="E109" s="35"/>
    </row>
    <row r="110" spans="2:5" ht="23">
      <c r="B110" s="38" t="s">
        <v>272</v>
      </c>
      <c r="C110" s="33"/>
      <c r="D110" s="34"/>
      <c r="E110" s="35"/>
    </row>
    <row r="111" spans="2:5" ht="23">
      <c r="B111" s="38" t="s">
        <v>274</v>
      </c>
      <c r="C111" s="33"/>
      <c r="D111" s="34"/>
      <c r="E111" s="35"/>
    </row>
    <row r="112" spans="2:5" ht="23">
      <c r="B112" s="38" t="s">
        <v>276</v>
      </c>
      <c r="C112" s="33"/>
      <c r="D112" s="34"/>
      <c r="E112" s="35"/>
    </row>
    <row r="113" spans="2:5" ht="23">
      <c r="B113" s="38" t="s">
        <v>279</v>
      </c>
      <c r="C113" s="33"/>
      <c r="D113" s="34"/>
      <c r="E113" s="35"/>
    </row>
    <row r="114" spans="2:5" ht="23">
      <c r="B114" s="38" t="s">
        <v>275</v>
      </c>
      <c r="C114" s="33"/>
      <c r="D114" s="34"/>
      <c r="E114" s="35"/>
    </row>
    <row r="115" spans="2:5" ht="23">
      <c r="B115" s="38" t="s">
        <v>278</v>
      </c>
      <c r="C115" s="33"/>
      <c r="D115" s="34"/>
      <c r="E115" s="35"/>
    </row>
    <row r="116" spans="2:5" ht="23">
      <c r="B116" s="38" t="s">
        <v>280</v>
      </c>
      <c r="C116" s="33"/>
      <c r="D116" s="34"/>
      <c r="E116" s="35"/>
    </row>
    <row r="117" spans="2:5" ht="23">
      <c r="B117" s="38" t="s">
        <v>281</v>
      </c>
      <c r="C117" s="33"/>
      <c r="D117" s="34"/>
      <c r="E117" s="35"/>
    </row>
    <row r="118" spans="2:5" ht="23">
      <c r="B118" s="38" t="s">
        <v>262</v>
      </c>
      <c r="C118" s="33"/>
      <c r="D118" s="34"/>
      <c r="E118" s="35"/>
    </row>
    <row r="119" spans="2:5" ht="23">
      <c r="B119" s="38" t="s">
        <v>263</v>
      </c>
      <c r="C119" s="33"/>
      <c r="D119" s="34"/>
      <c r="E119" s="35"/>
    </row>
    <row r="120" spans="2:5" ht="23">
      <c r="B120" s="38" t="s">
        <v>277</v>
      </c>
      <c r="C120" s="33"/>
      <c r="D120" s="34"/>
      <c r="E120" s="35"/>
    </row>
    <row r="121" spans="2:5" ht="23">
      <c r="B121" s="38" t="s">
        <v>264</v>
      </c>
      <c r="C121" s="33"/>
      <c r="D121" s="34"/>
      <c r="E121" s="35"/>
    </row>
    <row r="122" spans="2:5" ht="23">
      <c r="B122" s="38" t="s">
        <v>265</v>
      </c>
      <c r="C122" s="33"/>
      <c r="D122" s="34"/>
      <c r="E122" s="35"/>
    </row>
    <row r="123" spans="2:5" ht="23">
      <c r="B123" s="38" t="s">
        <v>282</v>
      </c>
      <c r="C123" s="33"/>
      <c r="D123" s="34"/>
      <c r="E123" s="35"/>
    </row>
    <row r="124" spans="2:5" ht="23">
      <c r="B124" s="38" t="s">
        <v>266</v>
      </c>
      <c r="C124" s="33"/>
      <c r="D124" s="34"/>
      <c r="E124" s="35"/>
    </row>
    <row r="125" spans="2:5" ht="23">
      <c r="B125" s="38" t="s">
        <v>333</v>
      </c>
      <c r="C125" s="33"/>
      <c r="D125" s="34"/>
      <c r="E125" s="35"/>
    </row>
    <row r="126" spans="2:5" ht="23">
      <c r="B126" s="38" t="s">
        <v>334</v>
      </c>
      <c r="C126" s="33"/>
      <c r="D126" s="34"/>
      <c r="E126" s="35"/>
    </row>
    <row r="127" spans="2:5" ht="23">
      <c r="B127" s="38" t="s">
        <v>261</v>
      </c>
      <c r="C127" s="33"/>
      <c r="D127" s="34"/>
      <c r="E127" s="35"/>
    </row>
    <row r="128" spans="2:5" ht="27">
      <c r="B128" s="31"/>
      <c r="C128" s="33"/>
      <c r="D128" s="34"/>
      <c r="E128" s="35"/>
    </row>
    <row r="131" spans="2:18" ht="27">
      <c r="B131" s="31" t="s">
        <v>257</v>
      </c>
    </row>
    <row r="132" spans="2:18" ht="23">
      <c r="B132" s="38" t="s">
        <v>367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2:18" ht="27" customHeight="1">
      <c r="B133" s="38" t="s">
        <v>368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2:18" ht="23">
      <c r="B134" s="38" t="s">
        <v>369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2:18" ht="23">
      <c r="B135" s="38" t="s">
        <v>370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2:18" ht="23">
      <c r="B136" s="38" t="s">
        <v>371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2:18" ht="23">
      <c r="B137" s="38" t="s">
        <v>372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2:18" ht="23">
      <c r="B138" s="38" t="s">
        <v>373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2:18" ht="23">
      <c r="B139" s="38" t="s">
        <v>374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2:18" ht="23">
      <c r="B140" s="38" t="s">
        <v>375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2:18" ht="23">
      <c r="B141" s="38" t="s">
        <v>376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2:18" ht="23">
      <c r="B142" s="38" t="s">
        <v>377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2:18" ht="23">
      <c r="B143" s="38" t="s">
        <v>378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2:18" ht="23">
      <c r="B144" s="38" t="s">
        <v>379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2:18" ht="23">
      <c r="B145" s="38" t="s">
        <v>380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2:18" ht="23">
      <c r="B146" s="38" t="s">
        <v>381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2:18" ht="23">
      <c r="B147" s="38" t="s">
        <v>382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2:18" ht="23">
      <c r="B148" s="38" t="s">
        <v>383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2:18" ht="23">
      <c r="B149" s="38" t="s">
        <v>384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2:18" ht="23">
      <c r="B150" s="38" t="s">
        <v>385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2:18" ht="23">
      <c r="B151" s="38" t="s">
        <v>386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2:18" ht="23">
      <c r="B152" s="38" t="s">
        <v>387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2:18" ht="23">
      <c r="B153" s="38" t="s">
        <v>388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2:18" ht="23">
      <c r="B154" s="38" t="s">
        <v>389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2:18" ht="23">
      <c r="B155" s="38" t="s">
        <v>390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2:18" ht="23">
      <c r="B156" s="38" t="s">
        <v>391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2:18" ht="23">
      <c r="B157" s="38" t="s">
        <v>546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2:18" ht="23">
      <c r="B158" s="38" t="s">
        <v>547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2:18" ht="23">
      <c r="B159" s="38" t="s">
        <v>548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2:18" ht="23">
      <c r="B160" s="38" t="s">
        <v>549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2:18" ht="23">
      <c r="B161" s="38" t="s">
        <v>550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2:18" ht="23">
      <c r="B162" s="38" t="s">
        <v>551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2:18" ht="23">
      <c r="B163" s="38" t="s">
        <v>552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2:18" ht="23">
      <c r="B164" s="38" t="s">
        <v>553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2:18" ht="23">
      <c r="B165" s="38" t="s">
        <v>554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2:18" ht="23">
      <c r="B166" s="38" t="s">
        <v>555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2:18" ht="23">
      <c r="B167" s="38" t="s">
        <v>556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2:18" ht="23">
      <c r="B168" s="38" t="s">
        <v>557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2:18" ht="23">
      <c r="B169" s="38" t="s">
        <v>558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2:18" ht="23">
      <c r="B170" s="38" t="s">
        <v>559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2:18" ht="23">
      <c r="B171" s="38" t="s">
        <v>560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2:18" ht="23">
      <c r="B172" s="38" t="s">
        <v>561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2:18" ht="23">
      <c r="B173" s="38" t="s">
        <v>562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2:18" ht="23">
      <c r="B174" s="38" t="s">
        <v>563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2:18" ht="23">
      <c r="B175" s="38" t="s">
        <v>564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2:18" ht="23">
      <c r="B176" s="38" t="s">
        <v>565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2:18" ht="23">
      <c r="B177" s="38" t="s">
        <v>566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2:18" ht="23">
      <c r="B178" s="38" t="s">
        <v>567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2:18" ht="23">
      <c r="B179" s="38" t="s">
        <v>568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2:18" ht="23">
      <c r="B180" s="38" t="s">
        <v>569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2:18" ht="23">
      <c r="B181" s="38" t="s">
        <v>570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2:18" ht="23">
      <c r="B182" s="38" t="s">
        <v>571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2:18" ht="23">
      <c r="B183" s="38" t="s">
        <v>572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2:18" ht="23">
      <c r="B184" s="38" t="s">
        <v>573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2:18" ht="23">
      <c r="B185" s="38" t="s">
        <v>574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2:18" ht="23">
      <c r="B186" s="38" t="s">
        <v>575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2:18" ht="23">
      <c r="B187" s="38" t="s">
        <v>576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2:18" ht="23">
      <c r="B188" s="38" t="s">
        <v>577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2:18" ht="23">
      <c r="B189" s="38" t="s">
        <v>578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2:18" ht="23">
      <c r="B190" s="38" t="s">
        <v>579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2:18" ht="23">
      <c r="B191" s="38" t="s">
        <v>580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2:18" ht="23">
      <c r="B192" s="38" t="s">
        <v>581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2:18" ht="23">
      <c r="B193" s="38" t="s">
        <v>582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2:18" ht="23">
      <c r="B194" s="38" t="s">
        <v>583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2:18" ht="23">
      <c r="B195" s="38" t="s">
        <v>584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2:18" ht="23">
      <c r="B196" s="38" t="s">
        <v>585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2:18" ht="23">
      <c r="B197" s="38" t="s">
        <v>586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2:18" ht="23">
      <c r="B198" s="38" t="s">
        <v>587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2:18" ht="23">
      <c r="B199" s="38" t="s">
        <v>588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2:18" ht="23">
      <c r="B200" s="38" t="s">
        <v>589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2:18" ht="23">
      <c r="B201" s="38" t="s">
        <v>590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2:18" ht="23">
      <c r="B202" s="38" t="s">
        <v>591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2:18" ht="23">
      <c r="B203" s="38" t="s">
        <v>592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2:18" ht="23">
      <c r="B204" s="38" t="s">
        <v>593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2:18" ht="23">
      <c r="B205" s="38" t="s">
        <v>594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2:18" ht="23">
      <c r="B206" s="38" t="s">
        <v>595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2:18" ht="23">
      <c r="B207" s="38" t="s">
        <v>596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2:18" ht="23">
      <c r="B208" s="38" t="s">
        <v>597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2:18" ht="23">
      <c r="B209" s="38" t="s">
        <v>598</v>
      </c>
      <c r="C209" s="25"/>
      <c r="D209" s="44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2:18" ht="23">
      <c r="B210" s="38" t="s">
        <v>599</v>
      </c>
      <c r="C210" s="25"/>
      <c r="D210" s="44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2:18" ht="23">
      <c r="B211" s="38" t="s">
        <v>600</v>
      </c>
      <c r="C211" s="25"/>
      <c r="D211" s="44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2:18" ht="23">
      <c r="B212" s="38" t="s">
        <v>601</v>
      </c>
      <c r="C212" s="25"/>
      <c r="D212" s="44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2:18" ht="23">
      <c r="B213" s="38" t="s">
        <v>602</v>
      </c>
      <c r="C213" s="45"/>
      <c r="D213" s="44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2:18" ht="23">
      <c r="B214" s="38" t="s">
        <v>603</v>
      </c>
      <c r="C214" s="45"/>
      <c r="D214" s="4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2:18" ht="23">
      <c r="B215" s="38" t="s">
        <v>604</v>
      </c>
      <c r="C215" s="45"/>
      <c r="D215" s="44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2:18" ht="23">
      <c r="B216" s="38" t="s">
        <v>605</v>
      </c>
      <c r="C216" s="45"/>
      <c r="D216" s="44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2:18" ht="23">
      <c r="B217" s="38" t="s">
        <v>606</v>
      </c>
      <c r="C217" s="45"/>
      <c r="D217" s="44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2:18" ht="23">
      <c r="B218" s="38" t="s">
        <v>607</v>
      </c>
      <c r="C218" s="45"/>
      <c r="D218" s="44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2:18" ht="23">
      <c r="B219" s="38" t="s">
        <v>608</v>
      </c>
      <c r="C219" s="45"/>
      <c r="D219" s="44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2:18" ht="23">
      <c r="B220" s="38" t="s">
        <v>609</v>
      </c>
      <c r="C220" s="45"/>
      <c r="D220" s="44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2:18" ht="23">
      <c r="B221" s="38" t="s">
        <v>610</v>
      </c>
      <c r="C221" s="45"/>
      <c r="D221" s="44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2:18" ht="23">
      <c r="B222" s="38" t="s">
        <v>611</v>
      </c>
      <c r="C222" s="45"/>
      <c r="D222" s="44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2:18" ht="23">
      <c r="B223" s="38" t="s">
        <v>612</v>
      </c>
      <c r="C223" s="45"/>
      <c r="D223" s="44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2:18" ht="23">
      <c r="B224" s="38" t="s">
        <v>613</v>
      </c>
      <c r="C224" s="45"/>
      <c r="D224" s="4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2:18" ht="23">
      <c r="B225" s="38" t="s">
        <v>614</v>
      </c>
      <c r="C225" s="45"/>
      <c r="D225" s="44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2:18" ht="23">
      <c r="B226" s="38" t="s">
        <v>615</v>
      </c>
      <c r="C226" s="45"/>
      <c r="D226" s="44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2:18" ht="23">
      <c r="B227" s="38" t="s">
        <v>616</v>
      </c>
      <c r="C227" s="45"/>
      <c r="D227" s="44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2:18" ht="23">
      <c r="B228" s="38" t="s">
        <v>617</v>
      </c>
      <c r="C228" s="45"/>
      <c r="D228" s="44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2:18" ht="23">
      <c r="B229" s="38" t="s">
        <v>618</v>
      </c>
      <c r="C229" s="45"/>
      <c r="D229" s="44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2:18" ht="23">
      <c r="B230" s="38" t="s">
        <v>618</v>
      </c>
      <c r="C230" s="45"/>
      <c r="D230" s="44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2:18" ht="23">
      <c r="B231" s="38" t="s">
        <v>619</v>
      </c>
      <c r="C231" s="45"/>
      <c r="D231" s="44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2:18" ht="23">
      <c r="B232" s="38" t="s">
        <v>620</v>
      </c>
      <c r="C232" s="45"/>
      <c r="D232" s="44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2:18" ht="23">
      <c r="B233" s="38" t="s">
        <v>621</v>
      </c>
      <c r="C233" s="45"/>
      <c r="D233" s="44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2:18" ht="23">
      <c r="B234" s="38" t="s">
        <v>622</v>
      </c>
      <c r="C234" s="45"/>
      <c r="D234" s="4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2:18" ht="23">
      <c r="B235" s="38" t="s">
        <v>623</v>
      </c>
      <c r="C235" s="45"/>
      <c r="D235" s="44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2:18" ht="23">
      <c r="B236" s="38" t="s">
        <v>624</v>
      </c>
      <c r="C236" s="45"/>
      <c r="D236" s="44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2:18" ht="23">
      <c r="B237" s="38" t="s">
        <v>625</v>
      </c>
      <c r="C237" s="45"/>
      <c r="D237" s="44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2:18" ht="23">
      <c r="B238" s="38" t="s">
        <v>626</v>
      </c>
      <c r="C238" s="45"/>
      <c r="D238" s="44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2:18" ht="23">
      <c r="B239" s="38" t="s">
        <v>627</v>
      </c>
      <c r="C239" s="45"/>
      <c r="D239" s="44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2:18" ht="23">
      <c r="B240" s="38" t="s">
        <v>628</v>
      </c>
      <c r="C240" s="45"/>
      <c r="D240" s="44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2:18" ht="23">
      <c r="B241" s="38" t="s">
        <v>629</v>
      </c>
      <c r="C241" s="45"/>
      <c r="D241" s="44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2:18" ht="23">
      <c r="B242" s="38" t="s">
        <v>630</v>
      </c>
      <c r="C242" s="45"/>
      <c r="D242" s="44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2:18" ht="23">
      <c r="B243" s="38" t="s">
        <v>631</v>
      </c>
      <c r="C243" s="45"/>
      <c r="D243" s="44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2:18" ht="23">
      <c r="B244" s="38" t="s">
        <v>632</v>
      </c>
      <c r="C244" s="45"/>
      <c r="D244" s="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2:18" ht="23">
      <c r="B245" s="38" t="s">
        <v>633</v>
      </c>
      <c r="C245" s="45"/>
      <c r="D245" s="44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2:18" ht="23">
      <c r="B246" s="38" t="s">
        <v>392</v>
      </c>
      <c r="C246" s="45"/>
      <c r="D246" s="44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2:18" ht="23">
      <c r="B247" s="38" t="s">
        <v>393</v>
      </c>
      <c r="C247" s="45"/>
      <c r="D247" s="44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2:18" ht="23">
      <c r="B248" s="38" t="s">
        <v>394</v>
      </c>
      <c r="C248" s="45"/>
      <c r="D248" s="44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2:18" ht="23">
      <c r="B249" s="38" t="s">
        <v>395</v>
      </c>
      <c r="C249" s="45"/>
      <c r="D249" s="44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2:18" ht="23">
      <c r="B250" s="38" t="s">
        <v>396</v>
      </c>
      <c r="C250" s="45"/>
      <c r="D250" s="44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2:18" ht="23">
      <c r="B251" s="38" t="s">
        <v>397</v>
      </c>
      <c r="C251" s="45"/>
      <c r="D251" s="44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2:18" ht="23">
      <c r="B252" s="38" t="s">
        <v>398</v>
      </c>
      <c r="C252" s="45"/>
      <c r="D252" s="44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2:18" ht="23">
      <c r="B253" s="38" t="s">
        <v>399</v>
      </c>
      <c r="C253" s="45"/>
      <c r="D253" s="44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2:18" ht="23">
      <c r="B254" s="38" t="s">
        <v>400</v>
      </c>
      <c r="C254" s="45"/>
      <c r="D254" s="4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2:18" ht="23">
      <c r="B255" s="38" t="s">
        <v>401</v>
      </c>
      <c r="C255" s="45"/>
      <c r="D255" s="44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2:18" ht="23">
      <c r="B256" s="38" t="s">
        <v>402</v>
      </c>
      <c r="C256" s="45"/>
      <c r="D256" s="44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2:18" ht="23">
      <c r="B257" s="38" t="s">
        <v>403</v>
      </c>
      <c r="C257" s="45"/>
      <c r="D257" s="44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2:18" ht="23">
      <c r="B258" s="38" t="s">
        <v>404</v>
      </c>
      <c r="C258" s="45"/>
      <c r="D258" s="44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2:18" ht="23">
      <c r="B259" s="38" t="s">
        <v>405</v>
      </c>
      <c r="C259" s="45"/>
      <c r="D259" s="44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2:18" ht="23">
      <c r="B260" s="38" t="s">
        <v>406</v>
      </c>
      <c r="C260" s="45"/>
      <c r="D260" s="44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2:18" ht="23">
      <c r="B261" s="38" t="s">
        <v>407</v>
      </c>
      <c r="C261" s="45"/>
      <c r="D261" s="44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2:18" ht="23">
      <c r="B262" s="38" t="s">
        <v>408</v>
      </c>
      <c r="C262" s="45"/>
      <c r="D262" s="44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2:18" ht="23">
      <c r="B263" s="38" t="s">
        <v>409</v>
      </c>
      <c r="C263" s="45"/>
      <c r="D263" s="44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2:18" ht="23">
      <c r="B264" s="38" t="s">
        <v>410</v>
      </c>
      <c r="C264" s="45"/>
      <c r="D264" s="4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2:18" ht="23">
      <c r="B265" s="38" t="s">
        <v>411</v>
      </c>
      <c r="C265" s="45"/>
      <c r="D265" s="44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2:18" ht="23">
      <c r="B266" s="38" t="s">
        <v>412</v>
      </c>
      <c r="C266" s="45"/>
      <c r="D266" s="44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2:18" ht="23">
      <c r="B267" s="38" t="s">
        <v>413</v>
      </c>
      <c r="C267" s="45"/>
      <c r="D267" s="44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2:18" ht="23">
      <c r="B268" s="38" t="s">
        <v>414</v>
      </c>
      <c r="C268" s="45"/>
      <c r="D268" s="44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2:18" ht="23">
      <c r="B269" s="38" t="s">
        <v>415</v>
      </c>
      <c r="C269" s="45"/>
      <c r="D269" s="44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2:18" ht="23">
      <c r="B270" s="38" t="s">
        <v>416</v>
      </c>
      <c r="C270" s="45"/>
      <c r="D270" s="44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2:18" ht="23">
      <c r="B271" s="38" t="s">
        <v>417</v>
      </c>
      <c r="C271" s="45"/>
      <c r="D271" s="44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2:18" ht="23">
      <c r="B272" s="38" t="s">
        <v>418</v>
      </c>
      <c r="C272" s="45"/>
      <c r="D272" s="44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2:18" ht="23">
      <c r="B273" s="38" t="s">
        <v>419</v>
      </c>
      <c r="C273" s="45"/>
      <c r="D273" s="44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2:18" ht="23">
      <c r="B274" s="38" t="s">
        <v>420</v>
      </c>
      <c r="C274" s="45"/>
      <c r="D274" s="4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2:18" ht="23">
      <c r="B275" s="38" t="s">
        <v>421</v>
      </c>
      <c r="C275" s="45"/>
      <c r="D275" s="44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2:18" ht="23">
      <c r="B276" s="38" t="s">
        <v>422</v>
      </c>
      <c r="C276" s="45"/>
      <c r="D276" s="44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2:18" ht="23">
      <c r="B277" s="38" t="s">
        <v>423</v>
      </c>
      <c r="C277" s="45"/>
      <c r="D277" s="44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2:18" ht="23">
      <c r="B278" s="38" t="s">
        <v>424</v>
      </c>
      <c r="C278" s="45"/>
      <c r="D278" s="44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2:18" ht="23">
      <c r="B279" s="38" t="s">
        <v>425</v>
      </c>
      <c r="C279" s="45"/>
      <c r="D279" s="44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2:18" ht="23">
      <c r="B280" s="38" t="s">
        <v>426</v>
      </c>
      <c r="C280" s="45"/>
      <c r="D280" s="44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2:18" ht="23">
      <c r="B281" s="38" t="s">
        <v>427</v>
      </c>
      <c r="C281" s="45"/>
      <c r="D281" s="44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2:18" ht="23">
      <c r="B282" s="38" t="s">
        <v>428</v>
      </c>
      <c r="C282" s="45"/>
      <c r="D282" s="44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2:18" ht="23">
      <c r="B283" s="38" t="s">
        <v>429</v>
      </c>
      <c r="C283" s="45"/>
      <c r="D283" s="44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2:18" ht="23">
      <c r="B284" s="38" t="s">
        <v>430</v>
      </c>
      <c r="C284" s="45"/>
      <c r="D284" s="4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2:18" ht="23">
      <c r="B285" s="38" t="s">
        <v>431</v>
      </c>
      <c r="C285" s="45"/>
      <c r="D285" s="44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2:18" ht="23">
      <c r="B286" s="38" t="s">
        <v>432</v>
      </c>
      <c r="C286" s="45"/>
      <c r="D286" s="44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2:18" ht="23">
      <c r="B287" s="38" t="s">
        <v>433</v>
      </c>
      <c r="C287" s="45"/>
      <c r="D287" s="44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2:18" ht="23">
      <c r="B288" s="38" t="s">
        <v>434</v>
      </c>
      <c r="C288" s="45"/>
      <c r="D288" s="44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2:18" ht="23">
      <c r="B289" s="38" t="s">
        <v>435</v>
      </c>
      <c r="C289" s="45"/>
      <c r="D289" s="44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2:18" ht="23">
      <c r="B290" s="38" t="s">
        <v>436</v>
      </c>
      <c r="C290" s="45"/>
      <c r="D290" s="44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2:18" ht="23">
      <c r="B291" s="38" t="s">
        <v>437</v>
      </c>
      <c r="C291" s="45"/>
      <c r="D291" s="44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2:18" ht="23">
      <c r="B292" s="38" t="s">
        <v>438</v>
      </c>
      <c r="C292" s="45"/>
      <c r="D292" s="44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2:18" ht="23">
      <c r="B293" s="38" t="s">
        <v>439</v>
      </c>
      <c r="C293" s="45"/>
      <c r="D293" s="44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2:18" ht="23">
      <c r="B294" s="38" t="s">
        <v>440</v>
      </c>
      <c r="C294" s="45"/>
      <c r="D294" s="4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2:18" ht="23">
      <c r="B295" s="38" t="s">
        <v>441</v>
      </c>
      <c r="C295" s="45"/>
      <c r="D295" s="44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2:18" ht="23">
      <c r="B296" s="38" t="s">
        <v>442</v>
      </c>
      <c r="C296" s="45"/>
      <c r="D296" s="44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2:18" ht="23">
      <c r="B297" s="38" t="s">
        <v>443</v>
      </c>
      <c r="C297" s="45"/>
      <c r="D297" s="44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2:18" ht="23">
      <c r="B298" s="38" t="s">
        <v>444</v>
      </c>
      <c r="C298" s="45"/>
      <c r="D298" s="44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2:18" ht="23">
      <c r="B299" s="38" t="s">
        <v>445</v>
      </c>
      <c r="C299" s="45"/>
      <c r="D299" s="44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2:18" ht="23">
      <c r="B300" s="38" t="s">
        <v>446</v>
      </c>
      <c r="C300" s="45"/>
      <c r="D300" s="44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  <row r="301" spans="2:18" ht="23">
      <c r="B301" s="38" t="s">
        <v>447</v>
      </c>
      <c r="C301" s="45"/>
      <c r="D301" s="44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</row>
    <row r="302" spans="2:18" ht="23">
      <c r="B302" s="38" t="s">
        <v>448</v>
      </c>
      <c r="C302" s="45"/>
      <c r="D302" s="44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</row>
    <row r="303" spans="2:18" ht="23">
      <c r="B303" s="38" t="s">
        <v>449</v>
      </c>
      <c r="C303" s="45"/>
      <c r="D303" s="44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</row>
    <row r="304" spans="2:18" ht="23">
      <c r="B304" s="38" t="s">
        <v>450</v>
      </c>
      <c r="C304" s="45"/>
      <c r="D304" s="4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</row>
    <row r="305" spans="2:18" ht="23">
      <c r="B305" s="38" t="s">
        <v>451</v>
      </c>
      <c r="C305" s="45"/>
      <c r="D305" s="44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</row>
    <row r="306" spans="2:18" ht="23">
      <c r="B306" s="38" t="s">
        <v>452</v>
      </c>
      <c r="C306" s="45"/>
      <c r="D306" s="44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</row>
    <row r="307" spans="2:18" ht="23">
      <c r="B307" s="38" t="s">
        <v>453</v>
      </c>
      <c r="C307" s="45"/>
      <c r="D307" s="44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</row>
    <row r="308" spans="2:18" ht="23">
      <c r="B308" s="38" t="s">
        <v>454</v>
      </c>
      <c r="C308" s="45"/>
      <c r="D308" s="44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</row>
    <row r="309" spans="2:18" ht="23">
      <c r="B309" s="38" t="s">
        <v>455</v>
      </c>
      <c r="C309" s="45"/>
      <c r="D309" s="44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</row>
    <row r="310" spans="2:18" ht="23">
      <c r="B310" s="38" t="s">
        <v>456</v>
      </c>
      <c r="C310" s="45"/>
      <c r="D310" s="44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</row>
    <row r="311" spans="2:18" ht="23">
      <c r="B311" s="38" t="s">
        <v>457</v>
      </c>
      <c r="C311" s="45"/>
      <c r="D311" s="44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</row>
    <row r="312" spans="2:18" ht="23">
      <c r="B312" s="38" t="s">
        <v>458</v>
      </c>
      <c r="C312" s="45"/>
      <c r="D312" s="44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</row>
    <row r="313" spans="2:18" ht="23">
      <c r="B313" s="38" t="s">
        <v>459</v>
      </c>
      <c r="C313" s="45"/>
      <c r="D313" s="44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</row>
    <row r="314" spans="2:18" ht="23">
      <c r="B314" s="38" t="s">
        <v>460</v>
      </c>
      <c r="C314" s="45"/>
      <c r="D314" s="4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</row>
    <row r="315" spans="2:18" ht="23">
      <c r="B315" s="38" t="s">
        <v>461</v>
      </c>
      <c r="C315" s="45"/>
      <c r="D315" s="44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</row>
    <row r="316" spans="2:18" ht="23">
      <c r="B316" s="38" t="s">
        <v>462</v>
      </c>
      <c r="C316" s="45"/>
      <c r="D316" s="44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</row>
    <row r="317" spans="2:18" ht="23">
      <c r="B317" s="38" t="s">
        <v>463</v>
      </c>
      <c r="C317" s="45"/>
      <c r="D317" s="44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</row>
    <row r="318" spans="2:18" ht="23">
      <c r="B318" s="38" t="s">
        <v>464</v>
      </c>
      <c r="C318" s="45"/>
      <c r="D318" s="44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</row>
    <row r="319" spans="2:18" ht="23">
      <c r="B319" s="38" t="s">
        <v>465</v>
      </c>
      <c r="C319" s="45"/>
      <c r="D319" s="44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</row>
    <row r="320" spans="2:18" ht="23">
      <c r="B320" s="38" t="s">
        <v>466</v>
      </c>
      <c r="C320" s="45"/>
      <c r="D320" s="44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</row>
    <row r="321" spans="2:18" ht="23">
      <c r="B321" s="38" t="s">
        <v>467</v>
      </c>
      <c r="C321" s="45"/>
      <c r="D321" s="44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</row>
    <row r="322" spans="2:18" ht="23">
      <c r="B322" s="38" t="s">
        <v>468</v>
      </c>
      <c r="C322" s="45"/>
      <c r="D322" s="44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</row>
    <row r="323" spans="2:18" ht="23">
      <c r="B323" s="38" t="s">
        <v>469</v>
      </c>
      <c r="C323" s="45"/>
      <c r="D323" s="44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</row>
    <row r="324" spans="2:18" ht="23">
      <c r="B324" s="38" t="s">
        <v>470</v>
      </c>
      <c r="C324" s="45"/>
      <c r="D324" s="4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</row>
    <row r="325" spans="2:18" ht="23">
      <c r="B325" s="38" t="s">
        <v>471</v>
      </c>
      <c r="C325" s="45"/>
      <c r="D325" s="44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</row>
    <row r="326" spans="2:18" ht="23">
      <c r="B326" s="38" t="s">
        <v>472</v>
      </c>
      <c r="C326" s="45"/>
      <c r="D326" s="44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</row>
    <row r="327" spans="2:18" ht="23">
      <c r="B327" s="38" t="s">
        <v>473</v>
      </c>
      <c r="C327" s="45"/>
      <c r="D327" s="44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</row>
    <row r="328" spans="2:18" ht="23">
      <c r="B328" s="38" t="s">
        <v>474</v>
      </c>
      <c r="C328" s="45"/>
      <c r="D328" s="44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</row>
    <row r="329" spans="2:18" ht="23">
      <c r="B329" s="38" t="s">
        <v>475</v>
      </c>
      <c r="C329" s="45"/>
      <c r="D329" s="44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</row>
    <row r="330" spans="2:18" ht="23">
      <c r="B330" s="38" t="s">
        <v>476</v>
      </c>
      <c r="C330" s="45"/>
      <c r="D330" s="44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</row>
    <row r="331" spans="2:18" ht="23">
      <c r="B331" s="38" t="s">
        <v>477</v>
      </c>
      <c r="C331" s="45"/>
      <c r="D331" s="44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</row>
    <row r="332" spans="2:18" ht="23">
      <c r="B332" s="38" t="s">
        <v>478</v>
      </c>
      <c r="C332" s="45"/>
      <c r="D332" s="44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</row>
    <row r="333" spans="2:18" ht="23">
      <c r="B333" s="38" t="s">
        <v>479</v>
      </c>
      <c r="C333" s="45"/>
      <c r="D333" s="44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</row>
    <row r="334" spans="2:18" ht="23">
      <c r="B334" s="38" t="s">
        <v>480</v>
      </c>
      <c r="C334" s="45"/>
      <c r="D334" s="4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</row>
    <row r="335" spans="2:18" ht="23">
      <c r="B335" s="38" t="s">
        <v>481</v>
      </c>
      <c r="C335" s="45"/>
      <c r="D335" s="44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</row>
    <row r="336" spans="2:18" ht="23">
      <c r="B336" s="38" t="s">
        <v>482</v>
      </c>
      <c r="C336" s="45"/>
      <c r="D336" s="44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</row>
    <row r="337" spans="2:18" ht="23">
      <c r="B337" s="38" t="s">
        <v>483</v>
      </c>
      <c r="C337" s="45"/>
      <c r="D337" s="44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</row>
    <row r="338" spans="2:18" ht="23">
      <c r="B338" s="38" t="s">
        <v>484</v>
      </c>
      <c r="C338" s="45"/>
      <c r="D338" s="44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</row>
    <row r="339" spans="2:18" ht="23">
      <c r="B339" s="38" t="s">
        <v>485</v>
      </c>
      <c r="C339" s="45"/>
      <c r="D339" s="44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</row>
    <row r="340" spans="2:18" ht="23">
      <c r="B340" s="38" t="s">
        <v>486</v>
      </c>
      <c r="C340" s="45"/>
      <c r="D340" s="44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</row>
    <row r="341" spans="2:18" ht="23">
      <c r="B341" s="38" t="s">
        <v>487</v>
      </c>
      <c r="C341" s="45"/>
      <c r="D341" s="44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</row>
    <row r="342" spans="2:18" ht="23">
      <c r="B342" s="38" t="s">
        <v>488</v>
      </c>
      <c r="C342" s="45"/>
      <c r="D342" s="44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</row>
    <row r="343" spans="2:18" ht="23">
      <c r="B343" s="38" t="s">
        <v>489</v>
      </c>
      <c r="C343" s="45"/>
      <c r="D343" s="44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</row>
    <row r="344" spans="2:18" ht="23">
      <c r="B344" s="38" t="s">
        <v>490</v>
      </c>
      <c r="C344" s="45"/>
      <c r="D344" s="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</row>
    <row r="345" spans="2:18" ht="23">
      <c r="B345" s="38" t="s">
        <v>491</v>
      </c>
      <c r="C345" s="45"/>
      <c r="D345" s="44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</row>
    <row r="346" spans="2:18" ht="23">
      <c r="B346" s="38" t="s">
        <v>492</v>
      </c>
      <c r="C346" s="45"/>
      <c r="D346" s="44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</row>
    <row r="347" spans="2:18" ht="23">
      <c r="B347" s="38" t="s">
        <v>493</v>
      </c>
      <c r="C347" s="45"/>
      <c r="D347" s="44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</row>
    <row r="348" spans="2:18" ht="23">
      <c r="B348" s="38" t="s">
        <v>494</v>
      </c>
      <c r="C348" s="45"/>
      <c r="D348" s="44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</row>
    <row r="349" spans="2:18" ht="23">
      <c r="B349" s="38" t="s">
        <v>495</v>
      </c>
      <c r="C349" s="45"/>
      <c r="D349" s="44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</row>
    <row r="350" spans="2:18" ht="23">
      <c r="B350" s="38" t="s">
        <v>496</v>
      </c>
      <c r="C350" s="45"/>
      <c r="D350" s="44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</row>
    <row r="351" spans="2:18" ht="23">
      <c r="B351" s="38" t="s">
        <v>497</v>
      </c>
      <c r="C351" s="45"/>
      <c r="D351" s="44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</row>
    <row r="352" spans="2:18" ht="23">
      <c r="B352" s="38" t="s">
        <v>498</v>
      </c>
      <c r="C352" s="45"/>
      <c r="D352" s="44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</row>
    <row r="353" spans="2:18" ht="23">
      <c r="B353" s="38" t="s">
        <v>499</v>
      </c>
      <c r="C353" s="45"/>
      <c r="D353" s="44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</row>
    <row r="354" spans="2:18" ht="23">
      <c r="B354" s="38" t="s">
        <v>500</v>
      </c>
      <c r="C354" s="45"/>
      <c r="D354" s="4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</row>
    <row r="355" spans="2:18" ht="23">
      <c r="B355" s="38" t="s">
        <v>501</v>
      </c>
      <c r="C355" s="45"/>
      <c r="D355" s="44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</row>
    <row r="356" spans="2:18" ht="23">
      <c r="B356" s="38" t="s">
        <v>502</v>
      </c>
      <c r="C356" s="45"/>
      <c r="D356" s="44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</row>
    <row r="357" spans="2:18" ht="23">
      <c r="B357" s="38" t="s">
        <v>503</v>
      </c>
      <c r="C357" s="45"/>
      <c r="D357" s="44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</row>
    <row r="358" spans="2:18" ht="23">
      <c r="B358" s="38" t="s">
        <v>504</v>
      </c>
      <c r="C358" s="45"/>
      <c r="D358" s="44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</row>
    <row r="359" spans="2:18" ht="23">
      <c r="B359" s="38" t="s">
        <v>505</v>
      </c>
      <c r="C359" s="45"/>
      <c r="D359" s="44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</row>
    <row r="360" spans="2:18" ht="23">
      <c r="B360" s="38" t="s">
        <v>506</v>
      </c>
      <c r="C360" s="45"/>
      <c r="D360" s="44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</row>
    <row r="361" spans="2:18" ht="23">
      <c r="B361" s="38" t="s">
        <v>507</v>
      </c>
      <c r="C361" s="45"/>
      <c r="D361" s="44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</row>
    <row r="362" spans="2:18" ht="23">
      <c r="B362" s="38" t="s">
        <v>508</v>
      </c>
      <c r="C362" s="45"/>
      <c r="D362" s="44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</row>
    <row r="363" spans="2:18" ht="23">
      <c r="B363" s="38" t="s">
        <v>509</v>
      </c>
      <c r="C363" s="45"/>
      <c r="D363" s="44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</row>
    <row r="364" spans="2:18" ht="23">
      <c r="B364" s="38" t="s">
        <v>510</v>
      </c>
      <c r="C364" s="45"/>
      <c r="D364" s="4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</row>
    <row r="365" spans="2:18" ht="23">
      <c r="B365" s="38" t="s">
        <v>511</v>
      </c>
      <c r="C365" s="45"/>
      <c r="D365" s="44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</row>
    <row r="366" spans="2:18" ht="23">
      <c r="B366" s="38" t="s">
        <v>512</v>
      </c>
      <c r="C366" s="45"/>
      <c r="D366" s="44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</row>
    <row r="367" spans="2:18" ht="23">
      <c r="B367" s="38" t="s">
        <v>513</v>
      </c>
      <c r="C367" s="45"/>
      <c r="D367" s="44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</row>
    <row r="368" spans="2:18" ht="23">
      <c r="B368" s="38" t="s">
        <v>514</v>
      </c>
      <c r="C368" s="45"/>
      <c r="D368" s="44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</row>
    <row r="369" spans="2:18" ht="23">
      <c r="B369" s="38" t="s">
        <v>515</v>
      </c>
      <c r="C369" s="45"/>
      <c r="D369" s="44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</row>
    <row r="370" spans="2:18" ht="23">
      <c r="B370" s="38" t="s">
        <v>516</v>
      </c>
      <c r="C370" s="45"/>
      <c r="D370" s="44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</row>
    <row r="371" spans="2:18" ht="23">
      <c r="B371" s="38" t="s">
        <v>517</v>
      </c>
      <c r="C371" s="45"/>
      <c r="D371" s="44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</row>
    <row r="372" spans="2:18" ht="23">
      <c r="B372" s="38" t="s">
        <v>518</v>
      </c>
      <c r="C372" s="45"/>
      <c r="D372" s="44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</row>
    <row r="373" spans="2:18" ht="23">
      <c r="B373" s="38" t="s">
        <v>519</v>
      </c>
      <c r="C373" s="45"/>
      <c r="D373" s="44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</row>
    <row r="374" spans="2:18" ht="23">
      <c r="B374" s="38" t="s">
        <v>520</v>
      </c>
      <c r="C374" s="45"/>
      <c r="D374" s="4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</row>
    <row r="375" spans="2:18" ht="23">
      <c r="B375" s="38" t="s">
        <v>521</v>
      </c>
      <c r="C375" s="45"/>
      <c r="D375" s="44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</row>
    <row r="376" spans="2:18" ht="23">
      <c r="B376" s="38" t="s">
        <v>522</v>
      </c>
      <c r="C376" s="45"/>
      <c r="D376" s="44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</row>
    <row r="377" spans="2:18" ht="23">
      <c r="B377" s="38" t="s">
        <v>523</v>
      </c>
      <c r="C377" s="45"/>
      <c r="D377" s="44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</row>
    <row r="378" spans="2:18" ht="23">
      <c r="B378" s="38" t="s">
        <v>524</v>
      </c>
      <c r="C378" s="45"/>
      <c r="D378" s="44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</row>
    <row r="379" spans="2:18" ht="23">
      <c r="B379" s="38" t="s">
        <v>525</v>
      </c>
      <c r="C379" s="45"/>
      <c r="D379" s="44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</row>
    <row r="380" spans="2:18" ht="23">
      <c r="B380" s="38" t="s">
        <v>526</v>
      </c>
      <c r="C380" s="45"/>
      <c r="D380" s="44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</row>
    <row r="381" spans="2:18" ht="23">
      <c r="B381" s="38" t="s">
        <v>527</v>
      </c>
      <c r="C381" s="45"/>
      <c r="D381" s="44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</row>
    <row r="382" spans="2:18" ht="23">
      <c r="B382" s="38" t="s">
        <v>528</v>
      </c>
      <c r="C382" s="45"/>
      <c r="D382" s="44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</row>
    <row r="383" spans="2:18" ht="23">
      <c r="B383" s="38" t="s">
        <v>529</v>
      </c>
      <c r="C383" s="45"/>
      <c r="D383" s="44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</row>
    <row r="384" spans="2:18" ht="23">
      <c r="B384" s="38" t="s">
        <v>530</v>
      </c>
      <c r="C384" s="45"/>
      <c r="D384" s="4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</row>
    <row r="385" spans="2:18" ht="23">
      <c r="B385" s="38" t="s">
        <v>531</v>
      </c>
      <c r="C385" s="45"/>
      <c r="D385" s="44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</row>
    <row r="386" spans="2:18" ht="23">
      <c r="B386" s="38" t="s">
        <v>532</v>
      </c>
      <c r="C386" s="45"/>
      <c r="D386" s="44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</row>
    <row r="387" spans="2:18" ht="23">
      <c r="B387" s="38" t="s">
        <v>533</v>
      </c>
      <c r="C387" s="45"/>
      <c r="D387" s="44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</row>
    <row r="388" spans="2:18" ht="23">
      <c r="B388" s="38" t="s">
        <v>534</v>
      </c>
      <c r="C388" s="45"/>
      <c r="D388" s="44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</row>
    <row r="389" spans="2:18" ht="23">
      <c r="B389" s="38" t="s">
        <v>535</v>
      </c>
      <c r="C389" s="45"/>
      <c r="D389" s="44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</row>
    <row r="390" spans="2:18" ht="23">
      <c r="B390" s="38" t="s">
        <v>536</v>
      </c>
      <c r="C390" s="45"/>
      <c r="D390" s="44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</row>
    <row r="391" spans="2:18" ht="23">
      <c r="B391" s="38" t="s">
        <v>537</v>
      </c>
      <c r="C391" s="45"/>
      <c r="D391" s="44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</row>
    <row r="392" spans="2:18" ht="23">
      <c r="B392" s="38" t="s">
        <v>538</v>
      </c>
      <c r="C392" s="45"/>
      <c r="D392" s="44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</row>
    <row r="393" spans="2:18" ht="23">
      <c r="B393" s="38" t="s">
        <v>539</v>
      </c>
      <c r="C393" s="45"/>
      <c r="D393" s="44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</row>
    <row r="394" spans="2:18" ht="23">
      <c r="B394" s="38" t="s">
        <v>540</v>
      </c>
      <c r="C394" s="45"/>
      <c r="D394" s="4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</row>
    <row r="395" spans="2:18" ht="23">
      <c r="B395" s="38" t="s">
        <v>541</v>
      </c>
      <c r="C395" s="45"/>
      <c r="D395" s="44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</row>
    <row r="396" spans="2:18" ht="23">
      <c r="B396" s="38" t="s">
        <v>542</v>
      </c>
      <c r="C396" s="45"/>
      <c r="D396" s="44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</row>
    <row r="397" spans="2:18" ht="23">
      <c r="B397" s="38" t="s">
        <v>543</v>
      </c>
      <c r="C397" s="45"/>
      <c r="D397" s="44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</row>
    <row r="398" spans="2:18" ht="23">
      <c r="B398" s="38" t="s">
        <v>544</v>
      </c>
      <c r="C398" s="45"/>
      <c r="D398" s="44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</row>
    <row r="399" spans="2:18" ht="23">
      <c r="B399" s="38" t="s">
        <v>545</v>
      </c>
      <c r="C399" s="45"/>
      <c r="D399" s="44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</row>
    <row r="400" spans="2:18" ht="23">
      <c r="B400" s="38" t="s">
        <v>544</v>
      </c>
      <c r="C400" s="45"/>
      <c r="D400" s="44"/>
      <c r="E400" s="22"/>
      <c r="F400" s="23"/>
      <c r="G400" s="43"/>
      <c r="H400" s="22"/>
      <c r="K400" s="43"/>
      <c r="P400" s="41"/>
      <c r="R400" s="22"/>
    </row>
    <row r="401" spans="2:18" ht="23">
      <c r="B401" s="38" t="s">
        <v>545</v>
      </c>
      <c r="C401" s="45"/>
      <c r="D401" s="44"/>
      <c r="E401" s="22"/>
      <c r="F401" s="23"/>
      <c r="G401" s="43"/>
      <c r="H401" s="22"/>
      <c r="K401" s="43"/>
      <c r="P401" s="41"/>
      <c r="R401" s="22"/>
    </row>
    <row r="402" spans="2:18" ht="23">
      <c r="B402" s="38"/>
      <c r="C402" s="45"/>
      <c r="D402" s="44"/>
      <c r="E402" s="22"/>
      <c r="F402" s="23"/>
      <c r="G402" s="43"/>
      <c r="H402" s="22"/>
      <c r="K402" s="43"/>
      <c r="P402" s="41"/>
      <c r="R402" s="22"/>
    </row>
    <row r="403" spans="2:18" ht="23">
      <c r="B403" s="38"/>
      <c r="C403" s="45"/>
      <c r="D403" s="44"/>
      <c r="E403" s="22"/>
      <c r="F403" s="23"/>
      <c r="G403" s="43"/>
      <c r="H403" s="22"/>
      <c r="K403" s="43"/>
      <c r="P403" s="41"/>
      <c r="R403" s="22"/>
    </row>
    <row r="404" spans="2:18" ht="23">
      <c r="B404" s="38"/>
      <c r="C404" s="45"/>
      <c r="D404" s="44"/>
      <c r="E404" s="22"/>
      <c r="F404" s="23"/>
      <c r="G404" s="43"/>
      <c r="H404" s="22"/>
      <c r="K404" s="43"/>
      <c r="P404" s="41"/>
      <c r="R404" s="22"/>
    </row>
    <row r="405" spans="2:18" ht="23">
      <c r="B405" s="38"/>
      <c r="C405" s="45"/>
      <c r="D405" s="44"/>
      <c r="E405" s="22"/>
      <c r="F405" s="23"/>
      <c r="G405" s="43"/>
      <c r="H405" s="22"/>
      <c r="K405" s="43"/>
      <c r="P405" s="41"/>
      <c r="R405" s="22"/>
    </row>
    <row r="406" spans="2:18" ht="23">
      <c r="B406" s="38"/>
      <c r="C406" s="45"/>
      <c r="D406" s="44"/>
      <c r="E406" s="22"/>
      <c r="F406" s="23"/>
      <c r="G406" s="43"/>
      <c r="H406" s="22"/>
      <c r="K406" s="43"/>
      <c r="P406" s="41"/>
      <c r="R406" s="22"/>
    </row>
    <row r="407" spans="2:18" ht="23">
      <c r="B407" s="38"/>
      <c r="C407" s="45"/>
      <c r="D407" s="44"/>
      <c r="E407" s="22"/>
      <c r="F407" s="23"/>
      <c r="G407" s="43"/>
      <c r="H407" s="22"/>
      <c r="K407" s="43"/>
      <c r="P407" s="41"/>
      <c r="R407" s="22"/>
    </row>
    <row r="408" spans="2:18" ht="23">
      <c r="B408" s="38"/>
      <c r="C408" s="45"/>
      <c r="D408" s="44"/>
      <c r="E408" s="22"/>
      <c r="F408" s="23"/>
      <c r="G408" s="43"/>
      <c r="H408" s="22"/>
      <c r="K408" s="43"/>
      <c r="P408" s="41"/>
      <c r="R408" s="22"/>
    </row>
    <row r="409" spans="2:18" ht="23">
      <c r="B409" s="38"/>
      <c r="C409" s="45"/>
      <c r="D409" s="44"/>
      <c r="E409" s="22"/>
      <c r="F409" s="23"/>
      <c r="G409" s="43"/>
      <c r="H409" s="22"/>
      <c r="K409" s="43"/>
      <c r="P409" s="41"/>
      <c r="R409" s="22"/>
    </row>
    <row r="410" spans="2:18" ht="23">
      <c r="B410" s="38"/>
      <c r="C410" s="45"/>
      <c r="D410" s="44"/>
      <c r="E410" s="22"/>
      <c r="F410" s="23"/>
      <c r="G410" s="43"/>
      <c r="H410" s="22"/>
      <c r="K410" s="43"/>
      <c r="P410" s="41"/>
      <c r="R410" s="22"/>
    </row>
    <row r="411" spans="2:18" ht="23">
      <c r="B411" s="38"/>
      <c r="C411" s="45"/>
      <c r="D411" s="44"/>
      <c r="E411" s="22"/>
      <c r="F411" s="23"/>
      <c r="G411" s="43"/>
      <c r="H411" s="22"/>
      <c r="K411" s="43"/>
      <c r="P411" s="41"/>
      <c r="R411" s="22"/>
    </row>
    <row r="412" spans="2:18" ht="23">
      <c r="B412" s="38"/>
      <c r="C412" s="45"/>
      <c r="D412" s="44"/>
      <c r="E412" s="22"/>
      <c r="F412" s="23"/>
      <c r="G412" s="43"/>
      <c r="H412" s="22"/>
      <c r="K412" s="43"/>
      <c r="P412" s="41"/>
      <c r="R412" s="22"/>
    </row>
    <row r="413" spans="2:18" ht="23">
      <c r="B413" s="38"/>
      <c r="C413" s="45"/>
      <c r="D413" s="44"/>
      <c r="E413" s="22"/>
      <c r="F413" s="23"/>
      <c r="G413" s="43"/>
      <c r="H413" s="22"/>
      <c r="K413" s="43"/>
      <c r="P413" s="41"/>
      <c r="R413" s="22"/>
    </row>
    <row r="414" spans="2:18" ht="23">
      <c r="B414" s="38"/>
      <c r="C414" s="45"/>
      <c r="D414" s="44"/>
      <c r="E414" s="22"/>
      <c r="F414" s="23"/>
      <c r="G414" s="43"/>
      <c r="H414" s="22"/>
      <c r="K414" s="43"/>
      <c r="P414" s="41"/>
      <c r="R414" s="22"/>
    </row>
    <row r="415" spans="2:18" ht="23">
      <c r="B415" s="38"/>
      <c r="C415" s="45"/>
      <c r="D415" s="44"/>
      <c r="E415" s="22"/>
      <c r="F415" s="23"/>
      <c r="G415" s="43"/>
      <c r="H415" s="22"/>
      <c r="K415" s="43"/>
      <c r="P415" s="41"/>
      <c r="R415" s="22"/>
    </row>
    <row r="416" spans="2:18" ht="23">
      <c r="B416" s="38"/>
      <c r="C416" s="45"/>
      <c r="D416" s="44"/>
      <c r="E416" s="22"/>
      <c r="F416" s="23"/>
      <c r="G416" s="43"/>
      <c r="H416" s="22"/>
      <c r="K416" s="43"/>
      <c r="P416" s="41"/>
      <c r="R416" s="22"/>
    </row>
    <row r="417" spans="2:18" ht="23">
      <c r="B417" s="38"/>
      <c r="C417" s="45"/>
      <c r="D417" s="44"/>
      <c r="E417" s="22"/>
      <c r="F417" s="23"/>
      <c r="G417" s="43"/>
      <c r="H417" s="22"/>
      <c r="K417" s="43"/>
      <c r="P417" s="41"/>
      <c r="R417" s="22"/>
    </row>
    <row r="418" spans="2:18" ht="23">
      <c r="B418" s="38"/>
      <c r="C418" s="45"/>
      <c r="D418" s="44"/>
      <c r="E418" s="22"/>
      <c r="F418" s="23"/>
      <c r="G418" s="43"/>
      <c r="H418" s="22"/>
      <c r="K418" s="43"/>
      <c r="P418" s="41"/>
      <c r="R418" s="22"/>
    </row>
    <row r="419" spans="2:18" ht="23">
      <c r="B419" s="38"/>
      <c r="C419" s="45"/>
      <c r="D419" s="44"/>
      <c r="E419" s="22"/>
      <c r="F419" s="23"/>
      <c r="G419" s="43"/>
      <c r="H419" s="22"/>
      <c r="K419" s="43"/>
      <c r="P419" s="41"/>
      <c r="R419" s="22"/>
    </row>
    <row r="420" spans="2:18" ht="23">
      <c r="B420" s="38"/>
      <c r="C420" s="45"/>
      <c r="D420" s="44"/>
      <c r="E420" s="22"/>
      <c r="F420" s="23"/>
      <c r="G420" s="43"/>
      <c r="H420" s="22"/>
      <c r="K420" s="43"/>
      <c r="P420" s="41"/>
      <c r="R420" s="22"/>
    </row>
    <row r="421" spans="2:18" ht="23">
      <c r="B421" s="38"/>
      <c r="C421" s="45"/>
      <c r="D421" s="44"/>
      <c r="E421" s="22"/>
      <c r="F421" s="23"/>
      <c r="G421" s="43"/>
      <c r="H421" s="22"/>
      <c r="K421" s="43"/>
      <c r="P421" s="41"/>
      <c r="R421" s="22"/>
    </row>
    <row r="422" spans="2:18" ht="23">
      <c r="B422" s="38"/>
      <c r="C422" s="45"/>
      <c r="D422" s="44"/>
      <c r="E422" s="22"/>
      <c r="F422" s="23"/>
      <c r="G422" s="43"/>
      <c r="H422" s="22"/>
      <c r="K422" s="43"/>
      <c r="P422" s="41"/>
      <c r="R422" s="22"/>
    </row>
    <row r="423" spans="2:18" ht="23">
      <c r="B423" s="38"/>
      <c r="C423" s="45"/>
      <c r="D423" s="44"/>
      <c r="E423" s="22"/>
      <c r="F423" s="23"/>
      <c r="G423" s="43"/>
      <c r="H423" s="22"/>
      <c r="K423" s="43"/>
      <c r="P423" s="41"/>
      <c r="R423" s="22"/>
    </row>
    <row r="424" spans="2:18" ht="23">
      <c r="B424" s="38"/>
      <c r="C424" s="45"/>
      <c r="D424" s="44"/>
      <c r="E424" s="22"/>
      <c r="F424" s="23"/>
      <c r="G424" s="43"/>
      <c r="H424" s="22"/>
      <c r="K424" s="43"/>
      <c r="P424" s="41"/>
      <c r="R424" s="22"/>
    </row>
    <row r="425" spans="2:18" ht="23">
      <c r="B425" s="38"/>
      <c r="C425" s="45"/>
      <c r="D425" s="44"/>
      <c r="E425" s="22"/>
      <c r="F425" s="23"/>
      <c r="G425" s="43"/>
      <c r="H425" s="22"/>
      <c r="K425" s="43"/>
      <c r="P425" s="41"/>
      <c r="R425" s="22"/>
    </row>
    <row r="426" spans="2:18" ht="23">
      <c r="B426" s="38"/>
      <c r="C426" s="45"/>
      <c r="D426" s="44"/>
      <c r="E426" s="22"/>
      <c r="F426" s="23"/>
      <c r="G426" s="43"/>
      <c r="H426" s="22"/>
      <c r="K426" s="43"/>
      <c r="P426" s="41"/>
      <c r="R426" s="22"/>
    </row>
    <row r="427" spans="2:18" ht="23">
      <c r="B427" s="38"/>
      <c r="C427" s="45"/>
      <c r="D427" s="44"/>
      <c r="E427" s="22"/>
      <c r="F427" s="23"/>
      <c r="G427" s="43"/>
      <c r="H427" s="22"/>
      <c r="K427" s="43"/>
      <c r="P427" s="41"/>
      <c r="R427" s="22"/>
    </row>
    <row r="428" spans="2:18" ht="23">
      <c r="B428" s="38"/>
      <c r="C428" s="45"/>
      <c r="D428" s="44"/>
      <c r="E428" s="22"/>
      <c r="F428" s="23"/>
      <c r="G428" s="43"/>
      <c r="H428" s="22"/>
      <c r="K428" s="43"/>
      <c r="P428" s="41"/>
      <c r="R428" s="22"/>
    </row>
    <row r="429" spans="2:18" ht="23">
      <c r="B429" s="38"/>
      <c r="C429" s="45"/>
      <c r="D429" s="44"/>
      <c r="E429" s="22"/>
      <c r="F429" s="23"/>
      <c r="G429" s="43"/>
      <c r="H429" s="22"/>
      <c r="K429" s="43"/>
      <c r="P429" s="41"/>
      <c r="R429" s="22"/>
    </row>
    <row r="430" spans="2:18" ht="23">
      <c r="B430" s="38"/>
      <c r="C430" s="45"/>
      <c r="D430" s="44"/>
      <c r="E430" s="22"/>
      <c r="F430" s="23"/>
      <c r="G430" s="43"/>
      <c r="H430" s="22"/>
      <c r="K430" s="43"/>
      <c r="P430" s="41"/>
      <c r="R430" s="22"/>
    </row>
    <row r="431" spans="2:18" ht="23">
      <c r="B431" s="38"/>
      <c r="C431" s="45"/>
      <c r="D431" s="44"/>
      <c r="E431" s="22"/>
      <c r="F431" s="23"/>
      <c r="G431" s="43"/>
      <c r="H431" s="22"/>
      <c r="K431" s="43"/>
      <c r="P431" s="41"/>
      <c r="R431" s="22"/>
    </row>
    <row r="432" spans="2:18" ht="23">
      <c r="B432" s="38"/>
      <c r="C432" s="45"/>
      <c r="D432" s="44"/>
      <c r="E432" s="22"/>
      <c r="F432" s="23"/>
      <c r="G432" s="43"/>
      <c r="H432" s="22"/>
      <c r="K432" s="43"/>
      <c r="P432" s="41"/>
      <c r="R432" s="22"/>
    </row>
    <row r="433" spans="2:18" ht="23">
      <c r="B433" s="38"/>
      <c r="C433" s="45"/>
      <c r="D433" s="44"/>
      <c r="E433" s="22"/>
      <c r="F433" s="23"/>
      <c r="G433" s="43"/>
      <c r="H433" s="22"/>
      <c r="K433" s="43"/>
      <c r="P433" s="41"/>
      <c r="R433" s="22"/>
    </row>
    <row r="434" spans="2:18" ht="23">
      <c r="B434" s="38"/>
      <c r="C434" s="45"/>
      <c r="D434" s="44"/>
      <c r="E434" s="22"/>
      <c r="F434" s="23"/>
      <c r="G434" s="43"/>
      <c r="H434" s="22"/>
      <c r="K434" s="43"/>
      <c r="P434" s="41"/>
      <c r="R434" s="22"/>
    </row>
    <row r="435" spans="2:18" ht="23">
      <c r="B435" s="38"/>
      <c r="C435" s="45"/>
      <c r="D435" s="44"/>
      <c r="E435" s="22"/>
      <c r="F435" s="23"/>
      <c r="G435" s="43"/>
      <c r="H435" s="22"/>
      <c r="K435" s="43"/>
      <c r="P435" s="41"/>
      <c r="R435" s="22"/>
    </row>
    <row r="436" spans="2:18" ht="23">
      <c r="B436" s="38"/>
      <c r="C436" s="45"/>
      <c r="D436" s="44"/>
      <c r="E436" s="22"/>
      <c r="F436" s="23"/>
      <c r="G436" s="43"/>
      <c r="H436" s="22"/>
      <c r="K436" s="43"/>
      <c r="P436" s="41"/>
      <c r="R436" s="22"/>
    </row>
    <row r="437" spans="2:18" ht="23">
      <c r="B437" s="38"/>
      <c r="C437" s="45"/>
      <c r="D437" s="44"/>
      <c r="E437" s="22"/>
      <c r="F437" s="23"/>
      <c r="G437" s="43"/>
      <c r="H437" s="22"/>
      <c r="K437" s="43"/>
      <c r="P437" s="41"/>
      <c r="R437" s="22"/>
    </row>
    <row r="438" spans="2:18" ht="23">
      <c r="B438" s="38"/>
      <c r="C438" s="45"/>
      <c r="D438" s="44"/>
      <c r="E438" s="22"/>
      <c r="F438" s="23"/>
      <c r="G438" s="43"/>
      <c r="H438" s="22"/>
      <c r="K438" s="43"/>
      <c r="P438" s="41"/>
      <c r="R438" s="22"/>
    </row>
    <row r="439" spans="2:18" ht="23">
      <c r="B439" s="38"/>
      <c r="C439" s="45"/>
      <c r="D439" s="44"/>
      <c r="E439" s="22"/>
      <c r="F439" s="23"/>
      <c r="G439" s="43"/>
      <c r="H439" s="22"/>
      <c r="K439" s="43"/>
      <c r="P439" s="41"/>
      <c r="R439" s="22"/>
    </row>
    <row r="440" spans="2:18" ht="23">
      <c r="B440" s="38"/>
      <c r="C440" s="45"/>
      <c r="D440" s="44"/>
      <c r="E440" s="22"/>
      <c r="F440" s="23"/>
      <c r="G440" s="43"/>
      <c r="H440" s="22"/>
      <c r="K440" s="43"/>
      <c r="P440" s="41"/>
      <c r="R440" s="22"/>
    </row>
    <row r="441" spans="2:18" ht="23">
      <c r="B441" s="38"/>
      <c r="C441" s="45"/>
      <c r="D441" s="44"/>
      <c r="E441" s="22"/>
      <c r="F441" s="23"/>
      <c r="G441" s="43"/>
      <c r="H441" s="22"/>
      <c r="K441" s="43"/>
      <c r="P441" s="41"/>
      <c r="R441" s="22"/>
    </row>
    <row r="442" spans="2:18" ht="23">
      <c r="B442" s="38"/>
      <c r="C442" s="45"/>
      <c r="D442" s="44"/>
      <c r="E442" s="22"/>
      <c r="F442" s="23"/>
      <c r="G442" s="43"/>
      <c r="H442" s="22"/>
      <c r="K442" s="43"/>
      <c r="P442" s="41"/>
      <c r="R442" s="22"/>
    </row>
    <row r="443" spans="2:18" ht="23">
      <c r="B443" s="38"/>
      <c r="C443" s="45"/>
      <c r="D443" s="44"/>
      <c r="E443" s="22"/>
      <c r="F443" s="23"/>
      <c r="G443" s="43"/>
      <c r="H443" s="22"/>
      <c r="K443" s="43"/>
      <c r="P443" s="41"/>
      <c r="R443" s="22"/>
    </row>
    <row r="444" spans="2:18" ht="23">
      <c r="B444" s="38"/>
      <c r="C444" s="45"/>
      <c r="D444" s="44"/>
      <c r="E444" s="22"/>
      <c r="F444" s="23"/>
      <c r="G444" s="43"/>
      <c r="H444" s="22"/>
      <c r="K444" s="43"/>
      <c r="P444" s="41"/>
      <c r="R444" s="22"/>
    </row>
    <row r="445" spans="2:18" ht="23">
      <c r="B445" s="38"/>
      <c r="C445" s="45"/>
      <c r="D445" s="44"/>
      <c r="E445" s="22"/>
      <c r="F445" s="23"/>
      <c r="G445" s="43"/>
      <c r="H445" s="22"/>
      <c r="K445" s="43"/>
      <c r="P445" s="41"/>
      <c r="R445" s="22"/>
    </row>
    <row r="446" spans="2:18" ht="23">
      <c r="B446" s="38"/>
      <c r="C446" s="45"/>
      <c r="D446" s="44"/>
      <c r="E446" s="22"/>
      <c r="F446" s="23"/>
      <c r="G446" s="43"/>
      <c r="H446" s="22"/>
      <c r="K446" s="43"/>
      <c r="P446" s="41"/>
      <c r="R446" s="22"/>
    </row>
    <row r="447" spans="2:18" ht="23">
      <c r="B447" s="38"/>
      <c r="C447" s="45"/>
      <c r="D447" s="44"/>
      <c r="E447" s="22"/>
      <c r="F447" s="23"/>
      <c r="G447" s="43"/>
      <c r="H447" s="22"/>
      <c r="K447" s="43"/>
      <c r="P447" s="41"/>
      <c r="R447" s="22"/>
    </row>
    <row r="448" spans="2:18" ht="23">
      <c r="B448" s="38"/>
      <c r="C448" s="45"/>
      <c r="D448" s="44"/>
      <c r="E448" s="22"/>
      <c r="F448" s="23"/>
      <c r="G448" s="43"/>
      <c r="H448" s="22"/>
      <c r="K448" s="43"/>
      <c r="P448" s="41"/>
      <c r="R448" s="22"/>
    </row>
    <row r="449" spans="2:18" ht="23">
      <c r="B449" s="38"/>
      <c r="C449" s="45"/>
      <c r="D449" s="44"/>
      <c r="E449" s="22"/>
      <c r="F449" s="23"/>
      <c r="G449" s="43"/>
      <c r="H449" s="22"/>
      <c r="K449" s="43"/>
      <c r="P449" s="41"/>
      <c r="R449" s="22"/>
    </row>
    <row r="450" spans="2:18" ht="23">
      <c r="B450" s="38"/>
      <c r="C450" s="45"/>
      <c r="D450" s="44"/>
      <c r="E450" s="22"/>
      <c r="F450" s="23"/>
      <c r="G450" s="43"/>
      <c r="H450" s="22"/>
      <c r="K450" s="43"/>
      <c r="P450" s="41"/>
      <c r="R450" s="22"/>
    </row>
    <row r="451" spans="2:18" ht="23">
      <c r="B451" s="38"/>
      <c r="C451" s="45"/>
      <c r="D451" s="44"/>
      <c r="E451" s="22"/>
      <c r="F451" s="23"/>
      <c r="G451" s="43"/>
      <c r="H451" s="22"/>
      <c r="K451" s="43"/>
      <c r="P451" s="41"/>
      <c r="R451" s="22"/>
    </row>
    <row r="452" spans="2:18" ht="23">
      <c r="B452" s="38"/>
      <c r="C452" s="45"/>
      <c r="D452" s="44"/>
      <c r="E452" s="22"/>
      <c r="F452" s="23"/>
      <c r="G452" s="43"/>
      <c r="H452" s="22"/>
      <c r="K452" s="43"/>
      <c r="P452" s="41"/>
      <c r="R452" s="22"/>
    </row>
    <row r="453" spans="2:18" ht="23">
      <c r="B453" s="38"/>
      <c r="C453" s="45"/>
      <c r="D453" s="44"/>
      <c r="E453" s="22"/>
      <c r="F453" s="23"/>
      <c r="G453" s="43"/>
      <c r="H453" s="22"/>
      <c r="K453" s="43"/>
      <c r="P453" s="41"/>
      <c r="R453" s="22"/>
    </row>
    <row r="454" spans="2:18" ht="23">
      <c r="B454" s="38"/>
      <c r="C454" s="45"/>
      <c r="D454" s="44"/>
      <c r="E454" s="22"/>
      <c r="F454" s="23"/>
      <c r="G454" s="43"/>
      <c r="H454" s="22"/>
      <c r="K454" s="43"/>
      <c r="P454" s="41"/>
      <c r="R454" s="22"/>
    </row>
    <row r="455" spans="2:18" ht="23">
      <c r="B455" s="38"/>
      <c r="C455" s="45"/>
      <c r="D455" s="44"/>
      <c r="E455" s="22"/>
      <c r="F455" s="23"/>
      <c r="G455" s="43"/>
      <c r="H455" s="22"/>
      <c r="K455" s="43"/>
      <c r="P455" s="41"/>
      <c r="R455" s="22"/>
    </row>
    <row r="456" spans="2:18" ht="23">
      <c r="B456" s="38"/>
      <c r="C456" s="45"/>
      <c r="D456" s="44"/>
      <c r="E456" s="22"/>
      <c r="F456" s="23"/>
      <c r="G456" s="43"/>
      <c r="H456" s="22"/>
      <c r="K456" s="43"/>
      <c r="P456" s="41"/>
      <c r="R456" s="22"/>
    </row>
    <row r="457" spans="2:18" ht="23">
      <c r="B457" s="38"/>
      <c r="C457" s="45"/>
      <c r="D457" s="44"/>
      <c r="E457" s="22"/>
      <c r="F457" s="23"/>
      <c r="G457" s="43"/>
      <c r="H457" s="22"/>
      <c r="K457" s="43"/>
      <c r="P457" s="41"/>
      <c r="R457" s="22"/>
    </row>
    <row r="458" spans="2:18" ht="23">
      <c r="B458" s="38"/>
      <c r="C458" s="45"/>
      <c r="D458" s="44"/>
      <c r="E458" s="22"/>
      <c r="F458" s="23"/>
      <c r="G458" s="43"/>
      <c r="H458" s="22"/>
      <c r="K458" s="43"/>
      <c r="P458" s="41"/>
      <c r="R458" s="22"/>
    </row>
    <row r="459" spans="2:18" ht="23">
      <c r="B459" s="38"/>
      <c r="C459" s="45"/>
      <c r="D459" s="44"/>
      <c r="E459" s="22"/>
      <c r="F459" s="23"/>
      <c r="G459" s="43"/>
      <c r="H459" s="22"/>
      <c r="K459" s="43"/>
      <c r="P459" s="41"/>
      <c r="R459" s="22"/>
    </row>
    <row r="460" spans="2:18" ht="23">
      <c r="B460" s="38"/>
      <c r="C460" s="45"/>
      <c r="D460" s="44"/>
      <c r="E460" s="22"/>
      <c r="F460" s="23"/>
      <c r="G460" s="43"/>
      <c r="H460" s="22"/>
      <c r="K460" s="43"/>
      <c r="P460" s="41"/>
      <c r="R460" s="22"/>
    </row>
    <row r="461" spans="2:18" ht="23">
      <c r="B461" s="38"/>
      <c r="C461" s="45"/>
      <c r="D461" s="44"/>
      <c r="E461" s="22"/>
      <c r="F461" s="23"/>
      <c r="G461" s="43"/>
      <c r="H461" s="22"/>
      <c r="K461" s="43"/>
      <c r="P461" s="41"/>
      <c r="R461" s="22"/>
    </row>
    <row r="462" spans="2:18" ht="23">
      <c r="B462" s="38"/>
      <c r="C462" s="45"/>
      <c r="D462" s="44"/>
      <c r="E462" s="22"/>
      <c r="F462" s="23"/>
      <c r="G462" s="43"/>
      <c r="H462" s="22"/>
      <c r="K462" s="43"/>
      <c r="P462" s="41"/>
      <c r="R462" s="22"/>
    </row>
    <row r="463" spans="2:18" ht="23">
      <c r="B463" s="38"/>
      <c r="C463" s="45"/>
      <c r="D463" s="44"/>
      <c r="E463" s="22"/>
      <c r="F463" s="23"/>
      <c r="G463" s="43"/>
      <c r="H463" s="22"/>
      <c r="K463" s="43"/>
      <c r="P463" s="41"/>
      <c r="R463" s="22"/>
    </row>
    <row r="464" spans="2:18" ht="23">
      <c r="B464" s="38"/>
      <c r="C464" s="45"/>
      <c r="D464" s="44"/>
      <c r="E464" s="22"/>
      <c r="F464" s="23"/>
      <c r="G464" s="43"/>
      <c r="H464" s="22"/>
      <c r="K464" s="43"/>
      <c r="P464" s="41"/>
      <c r="R464" s="22"/>
    </row>
    <row r="465" spans="2:18" ht="23">
      <c r="B465" s="38"/>
      <c r="C465" s="45"/>
      <c r="D465" s="44"/>
      <c r="E465" s="22"/>
      <c r="F465" s="23"/>
      <c r="G465" s="43"/>
      <c r="H465" s="22"/>
      <c r="K465" s="43"/>
      <c r="P465" s="41"/>
      <c r="R465" s="22"/>
    </row>
    <row r="466" spans="2:18" ht="23">
      <c r="B466" s="38"/>
      <c r="C466" s="45"/>
      <c r="D466" s="44"/>
      <c r="E466" s="22"/>
      <c r="F466" s="23"/>
      <c r="G466" s="43"/>
      <c r="H466" s="22"/>
      <c r="K466" s="43"/>
      <c r="P466" s="41"/>
      <c r="R466" s="22"/>
    </row>
    <row r="467" spans="2:18" ht="23">
      <c r="B467" s="38"/>
      <c r="C467" s="45"/>
      <c r="D467" s="44"/>
      <c r="E467" s="22"/>
      <c r="F467" s="23"/>
      <c r="G467" s="43"/>
      <c r="H467" s="22"/>
      <c r="K467" s="43"/>
      <c r="P467" s="41"/>
      <c r="R467" s="22"/>
    </row>
    <row r="468" spans="2:18" ht="23">
      <c r="B468" s="38"/>
      <c r="C468" s="45"/>
      <c r="D468" s="44"/>
      <c r="E468" s="22"/>
      <c r="F468" s="23"/>
      <c r="G468" s="43"/>
      <c r="H468" s="22"/>
      <c r="K468" s="43"/>
      <c r="P468" s="41"/>
      <c r="R468" s="22"/>
    </row>
    <row r="469" spans="2:18" ht="23">
      <c r="B469" s="38"/>
      <c r="C469" s="45"/>
      <c r="D469" s="44"/>
      <c r="E469" s="22"/>
      <c r="F469" s="23"/>
      <c r="G469" s="43"/>
      <c r="H469" s="22"/>
      <c r="K469" s="43"/>
      <c r="P469" s="41"/>
      <c r="R469" s="22"/>
    </row>
    <row r="470" spans="2:18" ht="23">
      <c r="B470" s="38"/>
      <c r="C470" s="45"/>
      <c r="D470" s="44"/>
      <c r="E470" s="22"/>
      <c r="F470" s="23"/>
      <c r="G470" s="43"/>
      <c r="H470" s="22"/>
      <c r="K470" s="43"/>
      <c r="P470" s="41"/>
      <c r="R470" s="22"/>
    </row>
    <row r="471" spans="2:18" ht="23">
      <c r="B471" s="38"/>
      <c r="C471" s="45"/>
      <c r="D471" s="44"/>
      <c r="E471" s="22"/>
      <c r="F471" s="23"/>
      <c r="G471" s="43"/>
      <c r="H471" s="22"/>
      <c r="K471" s="43"/>
      <c r="P471" s="41"/>
      <c r="R471" s="22"/>
    </row>
    <row r="472" spans="2:18" ht="23">
      <c r="B472" s="38"/>
      <c r="C472" s="45"/>
      <c r="D472" s="44"/>
      <c r="E472" s="22"/>
      <c r="F472" s="23"/>
      <c r="G472" s="43"/>
      <c r="H472" s="22"/>
      <c r="K472" s="43"/>
      <c r="P472" s="41"/>
      <c r="R472" s="22"/>
    </row>
    <row r="473" spans="2:18" ht="23">
      <c r="B473" s="38"/>
      <c r="C473" s="45"/>
      <c r="D473" s="44"/>
      <c r="E473" s="22"/>
      <c r="F473" s="23"/>
      <c r="G473" s="43"/>
      <c r="H473" s="22"/>
      <c r="K473" s="43"/>
      <c r="P473" s="41"/>
      <c r="R473" s="22"/>
    </row>
    <row r="474" spans="2:18" ht="23">
      <c r="B474" s="38"/>
      <c r="C474" s="45"/>
      <c r="D474" s="44"/>
      <c r="E474" s="22"/>
      <c r="F474" s="23"/>
      <c r="G474" s="43"/>
      <c r="H474" s="22"/>
      <c r="K474" s="43"/>
      <c r="P474" s="41"/>
      <c r="R474" s="22"/>
    </row>
    <row r="475" spans="2:18" ht="23">
      <c r="B475" s="38"/>
      <c r="C475" s="45"/>
      <c r="D475" s="44"/>
      <c r="E475" s="22"/>
      <c r="F475" s="23"/>
      <c r="G475" s="43"/>
      <c r="H475" s="22"/>
      <c r="K475" s="43"/>
      <c r="P475" s="41"/>
      <c r="R475" s="22"/>
    </row>
    <row r="476" spans="2:18" ht="23">
      <c r="B476" s="38"/>
      <c r="C476" s="45"/>
      <c r="D476" s="44"/>
      <c r="E476" s="22"/>
      <c r="F476" s="23"/>
      <c r="G476" s="43"/>
      <c r="H476" s="22"/>
      <c r="K476" s="43"/>
      <c r="P476" s="41"/>
      <c r="R476" s="22"/>
    </row>
    <row r="477" spans="2:18" ht="23">
      <c r="B477" s="38"/>
      <c r="C477" s="45"/>
      <c r="D477" s="44"/>
      <c r="E477" s="22"/>
      <c r="F477" s="23"/>
      <c r="G477" s="43"/>
      <c r="H477" s="22"/>
      <c r="K477" s="43"/>
      <c r="P477" s="41"/>
      <c r="R477" s="22"/>
    </row>
    <row r="478" spans="2:18" ht="23">
      <c r="B478" s="38"/>
      <c r="C478" s="45"/>
      <c r="D478" s="44"/>
      <c r="E478" s="22"/>
      <c r="F478" s="23"/>
      <c r="G478" s="43"/>
      <c r="H478" s="22"/>
      <c r="K478" s="43"/>
      <c r="P478" s="41"/>
      <c r="R478" s="22"/>
    </row>
    <row r="479" spans="2:18" ht="23">
      <c r="B479" s="38"/>
      <c r="C479" s="45"/>
      <c r="D479" s="44"/>
      <c r="E479" s="22"/>
      <c r="F479" s="23"/>
      <c r="G479" s="43"/>
      <c r="H479" s="22"/>
      <c r="K479" s="43"/>
      <c r="P479" s="41"/>
      <c r="R479" s="22"/>
    </row>
    <row r="480" spans="2:18" ht="23">
      <c r="B480" s="38"/>
      <c r="C480" s="45"/>
      <c r="D480" s="44"/>
      <c r="E480" s="22"/>
      <c r="F480" s="23"/>
      <c r="G480" s="43"/>
      <c r="H480" s="22"/>
      <c r="K480" s="43"/>
      <c r="P480" s="41"/>
      <c r="R480" s="22"/>
    </row>
    <row r="481" spans="3:18">
      <c r="C481" s="24"/>
      <c r="D481" s="22"/>
      <c r="E481" s="23"/>
      <c r="F481" s="25"/>
      <c r="G481" s="22"/>
      <c r="H481" s="22"/>
      <c r="P481" s="41"/>
      <c r="R481" s="22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EB74-1E81-8B42-A500-4E84854CC02A}">
  <dimension ref="B1:J94"/>
  <sheetViews>
    <sheetView topLeftCell="A84" workbookViewId="0">
      <selection activeCell="B96" sqref="B1:B96"/>
    </sheetView>
  </sheetViews>
  <sheetFormatPr baseColWidth="10" defaultRowHeight="20"/>
  <cols>
    <col min="2" max="2" width="105" customWidth="1"/>
  </cols>
  <sheetData>
    <row r="1" spans="2:10" ht="23">
      <c r="B1" s="37" t="s">
        <v>190</v>
      </c>
    </row>
    <row r="2" spans="2:10" ht="23">
      <c r="B2" s="37" t="s">
        <v>191</v>
      </c>
    </row>
    <row r="3" spans="2:10" ht="23">
      <c r="B3" s="37" t="s">
        <v>190</v>
      </c>
    </row>
    <row r="5" spans="2:10" ht="23">
      <c r="B5" s="38" t="s">
        <v>192</v>
      </c>
    </row>
    <row r="6" spans="2:10" ht="23">
      <c r="B6" s="39" t="s">
        <v>193</v>
      </c>
    </row>
    <row r="7" spans="2:10" ht="23">
      <c r="B7" s="39" t="s">
        <v>194</v>
      </c>
    </row>
    <row r="8" spans="2:10" ht="23">
      <c r="B8" s="39" t="s">
        <v>195</v>
      </c>
    </row>
    <row r="9" spans="2:10" ht="23">
      <c r="B9" s="39" t="s">
        <v>196</v>
      </c>
    </row>
    <row r="10" spans="2:10" ht="23">
      <c r="B10" s="39" t="s">
        <v>197</v>
      </c>
    </row>
    <row r="11" spans="2:10" ht="23">
      <c r="B11" s="40" t="s">
        <v>198</v>
      </c>
    </row>
    <row r="12" spans="2:10" ht="23">
      <c r="B12" s="38" t="s">
        <v>178</v>
      </c>
    </row>
    <row r="13" spans="2:10" ht="23">
      <c r="B13" s="38" t="s">
        <v>199</v>
      </c>
      <c r="J13" s="84" t="s">
        <v>673</v>
      </c>
    </row>
    <row r="14" spans="2:10" ht="23">
      <c r="B14" s="38" t="s">
        <v>200</v>
      </c>
      <c r="J14" s="84" t="s">
        <v>674</v>
      </c>
    </row>
    <row r="15" spans="2:10" ht="23">
      <c r="B15" s="38" t="s">
        <v>201</v>
      </c>
      <c r="J15" s="84" t="s">
        <v>675</v>
      </c>
    </row>
    <row r="16" spans="2:10" ht="23">
      <c r="B16" s="38" t="s">
        <v>202</v>
      </c>
      <c r="J16" s="84" t="s">
        <v>676</v>
      </c>
    </row>
    <row r="17" spans="2:10" ht="23">
      <c r="B17" s="38" t="s">
        <v>203</v>
      </c>
      <c r="J17" s="84" t="s">
        <v>677</v>
      </c>
    </row>
    <row r="18" spans="2:10" ht="23">
      <c r="B18" s="38" t="s">
        <v>204</v>
      </c>
      <c r="J18" s="84" t="s">
        <v>678</v>
      </c>
    </row>
    <row r="19" spans="2:10" ht="23">
      <c r="B19" s="38" t="s">
        <v>205</v>
      </c>
      <c r="J19" s="84" t="s">
        <v>679</v>
      </c>
    </row>
    <row r="20" spans="2:10" ht="23">
      <c r="B20" s="38" t="s">
        <v>206</v>
      </c>
      <c r="J20" s="84" t="s">
        <v>680</v>
      </c>
    </row>
    <row r="21" spans="2:10" ht="23">
      <c r="B21" s="38" t="s">
        <v>207</v>
      </c>
      <c r="J21" s="84" t="s">
        <v>681</v>
      </c>
    </row>
    <row r="22" spans="2:10" ht="23">
      <c r="B22" s="38" t="s">
        <v>208</v>
      </c>
      <c r="J22" s="84" t="s">
        <v>682</v>
      </c>
    </row>
    <row r="23" spans="2:10" ht="23">
      <c r="B23" s="38" t="s">
        <v>209</v>
      </c>
      <c r="J23" s="84" t="s">
        <v>683</v>
      </c>
    </row>
    <row r="24" spans="2:10" ht="23">
      <c r="B24" s="38" t="s">
        <v>210</v>
      </c>
    </row>
    <row r="25" spans="2:10" ht="23">
      <c r="B25" s="38" t="s">
        <v>211</v>
      </c>
    </row>
    <row r="26" spans="2:10" ht="23">
      <c r="B26" s="38" t="s">
        <v>212</v>
      </c>
    </row>
    <row r="29" spans="2:10" ht="23">
      <c r="B29" s="37" t="s">
        <v>190</v>
      </c>
    </row>
    <row r="30" spans="2:10" ht="23">
      <c r="B30" s="37" t="s">
        <v>213</v>
      </c>
    </row>
    <row r="31" spans="2:10" ht="23">
      <c r="B31" s="37" t="s">
        <v>190</v>
      </c>
    </row>
    <row r="34" spans="2:2" ht="23">
      <c r="B34" s="38" t="s">
        <v>214</v>
      </c>
    </row>
    <row r="35" spans="2:2" ht="23">
      <c r="B35" s="39" t="s">
        <v>215</v>
      </c>
    </row>
    <row r="36" spans="2:2" ht="23">
      <c r="B36" s="39" t="s">
        <v>216</v>
      </c>
    </row>
    <row r="37" spans="2:2" ht="23">
      <c r="B37" s="39" t="s">
        <v>217</v>
      </c>
    </row>
    <row r="38" spans="2:2" ht="23">
      <c r="B38" s="39" t="s">
        <v>218</v>
      </c>
    </row>
    <row r="39" spans="2:2" ht="23">
      <c r="B39" s="39" t="s">
        <v>219</v>
      </c>
    </row>
    <row r="40" spans="2:2" ht="23">
      <c r="B40" s="39" t="s">
        <v>195</v>
      </c>
    </row>
    <row r="41" spans="2:2" ht="23">
      <c r="B41" s="39" t="s">
        <v>220</v>
      </c>
    </row>
    <row r="42" spans="2:2" ht="23">
      <c r="B42" s="38" t="s">
        <v>175</v>
      </c>
    </row>
    <row r="43" spans="2:2" ht="23">
      <c r="B43" s="37" t="s">
        <v>221</v>
      </c>
    </row>
    <row r="44" spans="2:2" ht="23">
      <c r="B44" s="39" t="s">
        <v>222</v>
      </c>
    </row>
    <row r="45" spans="2:2" ht="23">
      <c r="B45" s="39" t="s">
        <v>223</v>
      </c>
    </row>
    <row r="46" spans="2:2" ht="23">
      <c r="B46" s="39" t="s">
        <v>224</v>
      </c>
    </row>
    <row r="47" spans="2:2" ht="23">
      <c r="B47" s="39" t="s">
        <v>225</v>
      </c>
    </row>
    <row r="48" spans="2:2" ht="23">
      <c r="B48" s="38" t="s">
        <v>178</v>
      </c>
    </row>
    <row r="49" spans="2:2" ht="23">
      <c r="B49" s="37" t="s">
        <v>226</v>
      </c>
    </row>
    <row r="50" spans="2:2" ht="23">
      <c r="B50" s="38" t="s">
        <v>227</v>
      </c>
    </row>
    <row r="51" spans="2:2" ht="23">
      <c r="B51" s="37" t="s">
        <v>228</v>
      </c>
    </row>
    <row r="52" spans="2:2" ht="23">
      <c r="B52" s="38" t="s">
        <v>229</v>
      </c>
    </row>
    <row r="53" spans="2:2" ht="23">
      <c r="B53" s="37" t="s">
        <v>230</v>
      </c>
    </row>
    <row r="54" spans="2:2" ht="23">
      <c r="B54" s="39" t="s">
        <v>231</v>
      </c>
    </row>
    <row r="55" spans="2:2" ht="23">
      <c r="B55" s="37" t="s">
        <v>232</v>
      </c>
    </row>
    <row r="56" spans="2:2" ht="23">
      <c r="B56" s="39" t="s">
        <v>233</v>
      </c>
    </row>
    <row r="57" spans="2:2" ht="23">
      <c r="B57" s="37" t="s">
        <v>234</v>
      </c>
    </row>
    <row r="58" spans="2:2" ht="23">
      <c r="B58" s="38" t="s">
        <v>235</v>
      </c>
    </row>
    <row r="59" spans="2:2" ht="23">
      <c r="B59" s="37" t="s">
        <v>236</v>
      </c>
    </row>
    <row r="60" spans="2:2" ht="23">
      <c r="B60" s="38" t="s">
        <v>237</v>
      </c>
    </row>
    <row r="61" spans="2:2" ht="23">
      <c r="B61" s="38" t="s">
        <v>238</v>
      </c>
    </row>
    <row r="64" spans="2:2" ht="23">
      <c r="B64" s="37" t="s">
        <v>190</v>
      </c>
    </row>
    <row r="65" spans="2:2" ht="23">
      <c r="B65" s="37" t="s">
        <v>239</v>
      </c>
    </row>
    <row r="66" spans="2:2" ht="23">
      <c r="B66" s="37" t="s">
        <v>190</v>
      </c>
    </row>
    <row r="69" spans="2:2" ht="23">
      <c r="B69" s="38" t="s">
        <v>240</v>
      </c>
    </row>
    <row r="70" spans="2:2" ht="23">
      <c r="B70" s="39" t="s">
        <v>216</v>
      </c>
    </row>
    <row r="71" spans="2:2" ht="23">
      <c r="B71" s="39" t="s">
        <v>217</v>
      </c>
    </row>
    <row r="72" spans="2:2" ht="23">
      <c r="B72" s="39" t="s">
        <v>218</v>
      </c>
    </row>
    <row r="73" spans="2:2" ht="23">
      <c r="B73" s="39" t="s">
        <v>197</v>
      </c>
    </row>
    <row r="74" spans="2:2" ht="23">
      <c r="B74" s="40" t="s">
        <v>241</v>
      </c>
    </row>
    <row r="75" spans="2:2" ht="23">
      <c r="B75" s="37" t="s">
        <v>242</v>
      </c>
    </row>
    <row r="76" spans="2:2" ht="23">
      <c r="B76" s="39" t="s">
        <v>243</v>
      </c>
    </row>
    <row r="77" spans="2:2" ht="23">
      <c r="B77" s="39" t="s">
        <v>244</v>
      </c>
    </row>
    <row r="78" spans="2:2" ht="23">
      <c r="B78" s="38" t="s">
        <v>178</v>
      </c>
    </row>
    <row r="79" spans="2:2" ht="23">
      <c r="B79" s="38" t="s">
        <v>199</v>
      </c>
    </row>
    <row r="80" spans="2:2" ht="23">
      <c r="B80" s="38" t="s">
        <v>245</v>
      </c>
    </row>
    <row r="81" spans="2:2" ht="23">
      <c r="B81" s="38" t="s">
        <v>246</v>
      </c>
    </row>
    <row r="82" spans="2:2" ht="23">
      <c r="B82" s="38" t="s">
        <v>247</v>
      </c>
    </row>
    <row r="83" spans="2:2" ht="23">
      <c r="B83" s="38" t="s">
        <v>248</v>
      </c>
    </row>
    <row r="84" spans="2:2" ht="23">
      <c r="B84" s="38" t="s">
        <v>249</v>
      </c>
    </row>
    <row r="85" spans="2:2" ht="23">
      <c r="B85" s="38" t="s">
        <v>250</v>
      </c>
    </row>
    <row r="86" spans="2:2" ht="23">
      <c r="B86" s="38" t="s">
        <v>251</v>
      </c>
    </row>
    <row r="87" spans="2:2" ht="23">
      <c r="B87" s="38" t="s">
        <v>252</v>
      </c>
    </row>
    <row r="88" spans="2:2" ht="23">
      <c r="B88" s="38" t="s">
        <v>253</v>
      </c>
    </row>
    <row r="89" spans="2:2" ht="23">
      <c r="B89" s="38" t="s">
        <v>254</v>
      </c>
    </row>
    <row r="91" spans="2:2" ht="23">
      <c r="B91" s="38" t="s">
        <v>255</v>
      </c>
    </row>
    <row r="94" spans="2:2" ht="23">
      <c r="B94" s="37" t="s">
        <v>190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563D-99AB-3C4A-AA37-4BBFBF2510DB}">
  <dimension ref="D5:Q151"/>
  <sheetViews>
    <sheetView workbookViewId="0">
      <selection activeCell="E151" sqref="E134:E151"/>
    </sheetView>
  </sheetViews>
  <sheetFormatPr baseColWidth="10" defaultRowHeight="20"/>
  <cols>
    <col min="2" max="2" width="14.5" customWidth="1"/>
    <col min="3" max="3" width="15.75" customWidth="1"/>
    <col min="4" max="4" width="10.625" customWidth="1"/>
    <col min="5" max="5" width="82.25" customWidth="1"/>
  </cols>
  <sheetData>
    <row r="5" spans="4:17">
      <c r="M5" t="s">
        <v>160</v>
      </c>
    </row>
    <row r="7" spans="4:17">
      <c r="D7" t="s">
        <v>145</v>
      </c>
    </row>
    <row r="8" spans="4:17">
      <c r="D8" t="s">
        <v>146</v>
      </c>
    </row>
    <row r="9" spans="4:17">
      <c r="D9" t="s">
        <v>147</v>
      </c>
    </row>
    <row r="10" spans="4:17">
      <c r="D10" t="s">
        <v>148</v>
      </c>
    </row>
    <row r="12" spans="4:17">
      <c r="D12" t="s">
        <v>149</v>
      </c>
      <c r="J12" t="s">
        <v>170</v>
      </c>
    </row>
    <row r="13" spans="4:17">
      <c r="D13" t="s">
        <v>150</v>
      </c>
      <c r="I13" s="6" t="s">
        <v>162</v>
      </c>
      <c r="J13" s="6"/>
      <c r="K13" s="6"/>
      <c r="L13" s="6"/>
    </row>
    <row r="14" spans="4:17">
      <c r="D14" t="s">
        <v>151</v>
      </c>
      <c r="I14" s="6" t="s">
        <v>163</v>
      </c>
      <c r="J14" s="6"/>
      <c r="K14" s="6"/>
      <c r="L14" s="6"/>
      <c r="N14" t="s">
        <v>169</v>
      </c>
    </row>
    <row r="15" spans="4:17">
      <c r="D15" t="s">
        <v>152</v>
      </c>
      <c r="I15" s="6" t="s">
        <v>164</v>
      </c>
      <c r="J15" s="6"/>
      <c r="K15" s="6"/>
      <c r="L15" s="6"/>
      <c r="M15" s="6" t="s">
        <v>165</v>
      </c>
      <c r="N15" s="6" t="s">
        <v>166</v>
      </c>
      <c r="O15" s="6" t="s">
        <v>142</v>
      </c>
      <c r="P15" s="6" t="s">
        <v>92</v>
      </c>
      <c r="Q15" s="6" t="s">
        <v>118</v>
      </c>
    </row>
    <row r="16" spans="4:17">
      <c r="M16" s="6"/>
      <c r="N16" s="6"/>
      <c r="O16" s="6" t="s">
        <v>98</v>
      </c>
      <c r="P16" s="6" t="s">
        <v>167</v>
      </c>
      <c r="Q16" s="6" t="s">
        <v>100</v>
      </c>
    </row>
    <row r="17" spans="4:17">
      <c r="D17" s="7" t="s">
        <v>153</v>
      </c>
      <c r="E17" s="7"/>
      <c r="F17" s="7"/>
      <c r="G17" s="7"/>
      <c r="H17" s="7"/>
      <c r="I17" s="7"/>
      <c r="J17" s="7"/>
      <c r="K17" s="7"/>
      <c r="L17" s="7"/>
      <c r="M17" s="6"/>
      <c r="N17" s="6" t="s">
        <v>168</v>
      </c>
      <c r="O17" s="6" t="s">
        <v>91</v>
      </c>
      <c r="P17" s="6" t="s">
        <v>144</v>
      </c>
      <c r="Q17" s="6"/>
    </row>
    <row r="18" spans="4:17">
      <c r="D18" s="7" t="s">
        <v>154</v>
      </c>
      <c r="E18" s="7"/>
      <c r="F18" s="7"/>
      <c r="G18" s="7"/>
      <c r="H18" s="7"/>
      <c r="I18" s="7"/>
      <c r="J18" s="7"/>
      <c r="K18" s="7"/>
      <c r="L18" s="7"/>
    </row>
    <row r="20" spans="4:17">
      <c r="D20" t="s">
        <v>155</v>
      </c>
    </row>
    <row r="21" spans="4:17">
      <c r="D21" t="s">
        <v>156</v>
      </c>
    </row>
    <row r="22" spans="4:17">
      <c r="D22" t="s">
        <v>157</v>
      </c>
    </row>
    <row r="23" spans="4:17">
      <c r="E23" t="s">
        <v>172</v>
      </c>
      <c r="F23" s="8" t="s">
        <v>166</v>
      </c>
      <c r="G23" s="8" t="s">
        <v>142</v>
      </c>
      <c r="H23" s="8" t="s">
        <v>92</v>
      </c>
      <c r="I23" s="8" t="s">
        <v>118</v>
      </c>
      <c r="J23" s="18" t="s">
        <v>173</v>
      </c>
      <c r="K23" s="9" t="s">
        <v>122</v>
      </c>
      <c r="L23" s="9" t="s">
        <v>94</v>
      </c>
      <c r="M23" s="9" t="s">
        <v>143</v>
      </c>
      <c r="N23" s="9" t="s">
        <v>144</v>
      </c>
      <c r="O23" s="10" t="s">
        <v>125</v>
      </c>
    </row>
    <row r="24" spans="4:17">
      <c r="F24" s="8"/>
      <c r="G24" s="8" t="s">
        <v>98</v>
      </c>
      <c r="H24" s="8" t="s">
        <v>167</v>
      </c>
      <c r="I24" s="8" t="s">
        <v>100</v>
      </c>
      <c r="J24" s="19" t="s">
        <v>171</v>
      </c>
      <c r="K24" s="20"/>
      <c r="L24" s="20" t="s">
        <v>126</v>
      </c>
      <c r="M24" s="20" t="s">
        <v>84</v>
      </c>
      <c r="N24" s="20" t="s">
        <v>85</v>
      </c>
      <c r="O24" s="21"/>
    </row>
    <row r="25" spans="4:17">
      <c r="F25" s="8" t="s">
        <v>168</v>
      </c>
      <c r="G25" s="8" t="s">
        <v>91</v>
      </c>
      <c r="H25" s="8" t="s">
        <v>144</v>
      </c>
      <c r="I25" s="8"/>
      <c r="J25" s="15" t="s">
        <v>173</v>
      </c>
      <c r="K25" s="8" t="s">
        <v>142</v>
      </c>
      <c r="L25" s="16" t="s">
        <v>94</v>
      </c>
      <c r="M25" s="16" t="s">
        <v>84</v>
      </c>
      <c r="N25" s="17" t="s">
        <v>85</v>
      </c>
    </row>
    <row r="26" spans="4:17">
      <c r="J26" s="11" t="s">
        <v>171</v>
      </c>
      <c r="K26" s="12" t="s">
        <v>98</v>
      </c>
      <c r="L26" s="13" t="s">
        <v>137</v>
      </c>
      <c r="M26" s="13" t="s">
        <v>174</v>
      </c>
      <c r="N26" s="14"/>
    </row>
    <row r="27" spans="4:17">
      <c r="D27" t="s">
        <v>158</v>
      </c>
    </row>
    <row r="28" spans="4:17">
      <c r="D28" t="s">
        <v>159</v>
      </c>
    </row>
    <row r="39" spans="4:4">
      <c r="D39" t="s">
        <v>697</v>
      </c>
    </row>
    <row r="41" spans="4:4">
      <c r="D41" t="s">
        <v>698</v>
      </c>
    </row>
    <row r="42" spans="4:4">
      <c r="D42" t="e">
        <f>- 사용자는 숙박업체의 종류, 지역, 날짜를 선택하여 조회할 수 있다.</f>
        <v>#NAME?</v>
      </c>
    </row>
    <row r="43" spans="4:4">
      <c r="D43" t="e" cm="1">
        <f t="array" ref="D43">- 선택한 조건에 맞는 숙박업체 정보가 출력된다.</f>
        <v>#NAME?</v>
      </c>
    </row>
    <row r="45" spans="4:4">
      <c r="D45" t="s">
        <v>699</v>
      </c>
    </row>
    <row r="46" spans="4:4">
      <c r="D46" t="s">
        <v>700</v>
      </c>
    </row>
    <row r="48" spans="4:4">
      <c r="D48" t="s">
        <v>701</v>
      </c>
    </row>
    <row r="49" spans="4:4">
      <c r="D49" t="s">
        <v>702</v>
      </c>
    </row>
    <row r="51" spans="4:4">
      <c r="D51" t="s">
        <v>703</v>
      </c>
    </row>
    <row r="52" spans="4:4">
      <c r="D52" t="e">
        <f>- 업체 이름과 지역이 리스트 형식으로 나오며, 리스트 클릭 시 업체 사진과 방 정보 사진이 나타난다.</f>
        <v>#NAME?</v>
      </c>
    </row>
    <row r="54" spans="4:4">
      <c r="D54" t="s">
        <v>704</v>
      </c>
    </row>
    <row r="55" spans="4:4">
      <c r="D55" t="e" cm="1">
        <f t="array" ref="D55">- 사용자는 업체 상세 설명을 수정하거나 텍스트를 입력할 수 없다.</f>
        <v>#NAME?</v>
      </c>
    </row>
    <row r="57" spans="4:4">
      <c r="D57" t="s">
        <v>705</v>
      </c>
    </row>
    <row r="58" spans="4:4">
      <c r="D58" t="e">
        <f>- 예약 시 비밀번호를 설정하며, 특정 규칙을 따라야 한다.</f>
        <v>#NAME?</v>
      </c>
    </row>
    <row r="60" spans="4:4">
      <c r="D60" t="s">
        <v>706</v>
      </c>
    </row>
    <row r="61" spans="4:4">
      <c r="D61" t="e" cm="1">
        <f t="array" ref="D61">- 예약이 완료되면 예약 번호가 팝업으로 표시된다.</f>
        <v>#NAME?</v>
      </c>
    </row>
    <row r="63" spans="4:4">
      <c r="D63" t="s">
        <v>707</v>
      </c>
    </row>
    <row r="64" spans="4:4">
      <c r="D64" t="e" cm="1">
        <f t="array" ref="D64">- 팝업을 닫으면 처음 숙소 조회 화면으로 돌아간다.</f>
        <v>#NAME?</v>
      </c>
    </row>
    <row r="66" spans="4:4">
      <c r="D66" t="s">
        <v>708</v>
      </c>
    </row>
    <row r="67" spans="4:4">
      <c r="D67" t="e">
        <f>- 예약자의 이름, 전화번호, 비밀번호를 입력하여 예약을 조회한다.</f>
        <v>#NAME?</v>
      </c>
    </row>
    <row r="69" spans="4:4">
      <c r="D69" t="s">
        <v>709</v>
      </c>
    </row>
    <row r="70" spans="4:4">
      <c r="D70" t="e" cm="1">
        <f t="array" ref="D70">- 예약한 정보는 리스트 형식으로 보여진다.</f>
        <v>#NAME?</v>
      </c>
    </row>
    <row r="72" spans="4:4">
      <c r="D72" t="s">
        <v>710</v>
      </c>
    </row>
    <row r="73" spans="4:4">
      <c r="D73" t="e" cm="1">
        <f t="array" ref="D73">- 예약을 취소할 때 예약자의 정보를 조회한다.</f>
        <v>#NAME?</v>
      </c>
    </row>
    <row r="75" spans="4:4">
      <c r="D75" t="s">
        <v>711</v>
      </c>
    </row>
    <row r="76" spans="4:4">
      <c r="D76" t="e" cm="1">
        <f t="array" ref="D76">- 예약 및 예약 취소 시 입력되어야 할 데이터가 부족할 경우 오류 팝업이 나타난다.</f>
        <v>#NAME?</v>
      </c>
    </row>
    <row r="78" spans="4:4">
      <c r="D78" t="s">
        <v>712</v>
      </c>
    </row>
    <row r="114" spans="5:5">
      <c r="E114" t="s">
        <v>713</v>
      </c>
    </row>
    <row r="115" spans="5:5">
      <c r="E115" t="s">
        <v>714</v>
      </c>
    </row>
    <row r="116" spans="5:5">
      <c r="E116" t="s">
        <v>715</v>
      </c>
    </row>
    <row r="118" spans="5:5">
      <c r="E118" t="s">
        <v>716</v>
      </c>
    </row>
    <row r="119" spans="5:5">
      <c r="E119" t="s">
        <v>717</v>
      </c>
    </row>
    <row r="121" spans="5:5">
      <c r="E121" t="s">
        <v>718</v>
      </c>
    </row>
    <row r="122" spans="5:5">
      <c r="E122" t="s">
        <v>719</v>
      </c>
    </row>
    <row r="124" spans="5:5">
      <c r="E124" t="s">
        <v>720</v>
      </c>
    </row>
    <row r="125" spans="5:5">
      <c r="E125" t="s">
        <v>736</v>
      </c>
    </row>
    <row r="126" spans="5:5">
      <c r="E126" t="s">
        <v>737</v>
      </c>
    </row>
    <row r="128" spans="5:5">
      <c r="E128" t="s">
        <v>721</v>
      </c>
    </row>
    <row r="129" spans="5:5">
      <c r="E129" t="s">
        <v>722</v>
      </c>
    </row>
    <row r="131" spans="5:5">
      <c r="E131" t="s">
        <v>723</v>
      </c>
    </row>
    <row r="132" spans="5:5">
      <c r="E132" t="s">
        <v>724</v>
      </c>
    </row>
    <row r="134" spans="5:5">
      <c r="E134" t="s">
        <v>725</v>
      </c>
    </row>
    <row r="135" spans="5:5">
      <c r="E135" t="s">
        <v>726</v>
      </c>
    </row>
    <row r="137" spans="5:5">
      <c r="E137" t="s">
        <v>727</v>
      </c>
    </row>
    <row r="138" spans="5:5">
      <c r="E138" t="s">
        <v>728</v>
      </c>
    </row>
    <row r="140" spans="5:5">
      <c r="E140" t="s">
        <v>729</v>
      </c>
    </row>
    <row r="141" spans="5:5">
      <c r="E141" t="s">
        <v>730</v>
      </c>
    </row>
    <row r="143" spans="5:5">
      <c r="E143" t="s">
        <v>731</v>
      </c>
    </row>
    <row r="144" spans="5:5">
      <c r="E144" t="s">
        <v>732</v>
      </c>
    </row>
    <row r="146" spans="5:5">
      <c r="E146" t="s">
        <v>733</v>
      </c>
    </row>
    <row r="147" spans="5:5">
      <c r="E147" t="s">
        <v>734</v>
      </c>
    </row>
    <row r="149" spans="5:5">
      <c r="E149" t="s">
        <v>735</v>
      </c>
    </row>
    <row r="150" spans="5:5">
      <c r="E150" t="s">
        <v>738</v>
      </c>
    </row>
    <row r="151" spans="5:5">
      <c r="E151" t="s">
        <v>739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ABA9-2B38-AC44-B9F0-DB0099F4B27E}">
  <dimension ref="C10:G1048576"/>
  <sheetViews>
    <sheetView workbookViewId="0">
      <selection activeCell="E22" sqref="E22"/>
    </sheetView>
  </sheetViews>
  <sheetFormatPr baseColWidth="10" defaultRowHeight="20"/>
  <cols>
    <col min="1" max="1" width="10.625" style="90"/>
    <col min="2" max="2" width="18.375" style="90" customWidth="1"/>
    <col min="3" max="3" width="4.5" style="90" customWidth="1"/>
    <col min="4" max="4" width="10.625" style="90"/>
    <col min="5" max="5" width="141.75" style="90" customWidth="1"/>
    <col min="6" max="16384" width="10.625" style="90"/>
  </cols>
  <sheetData>
    <row r="10" spans="3:7">
      <c r="C10" s="90" t="s">
        <v>751</v>
      </c>
      <c r="F10" s="90" t="s">
        <v>740</v>
      </c>
      <c r="G10" s="90" t="s">
        <v>742</v>
      </c>
    </row>
    <row r="12" spans="3:7">
      <c r="C12" s="90">
        <v>1</v>
      </c>
      <c r="D12" s="91" t="s">
        <v>752</v>
      </c>
      <c r="F12" s="90" t="s">
        <v>741</v>
      </c>
      <c r="G12" s="90" t="s">
        <v>773</v>
      </c>
    </row>
    <row r="13" spans="3:7">
      <c r="D13" s="90" t="s">
        <v>753</v>
      </c>
      <c r="E13" s="90" t="s">
        <v>760</v>
      </c>
      <c r="F13" s="90" t="s">
        <v>741</v>
      </c>
      <c r="G13" s="90" t="s">
        <v>773</v>
      </c>
    </row>
    <row r="14" spans="3:7">
      <c r="D14" s="90" t="s">
        <v>754</v>
      </c>
      <c r="E14" s="90" t="s">
        <v>755</v>
      </c>
      <c r="F14" s="90" t="s">
        <v>741</v>
      </c>
      <c r="G14" s="90" t="s">
        <v>773</v>
      </c>
    </row>
    <row r="15" spans="3:7">
      <c r="D15" s="90" t="s">
        <v>756</v>
      </c>
      <c r="E15" s="90" t="s">
        <v>757</v>
      </c>
      <c r="F15" s="90" t="s">
        <v>741</v>
      </c>
      <c r="G15" s="90" t="s">
        <v>773</v>
      </c>
    </row>
    <row r="16" spans="3:7">
      <c r="D16" s="90" t="s">
        <v>758</v>
      </c>
      <c r="E16" s="90" t="s">
        <v>761</v>
      </c>
      <c r="F16" s="90" t="s">
        <v>741</v>
      </c>
      <c r="G16" s="90" t="s">
        <v>773</v>
      </c>
    </row>
    <row r="18" spans="3:7">
      <c r="C18" s="90">
        <v>2</v>
      </c>
      <c r="D18" s="90" t="s">
        <v>759</v>
      </c>
      <c r="F18" s="90" t="s">
        <v>746</v>
      </c>
      <c r="G18" s="90" t="s">
        <v>773</v>
      </c>
    </row>
    <row r="19" spans="3:7">
      <c r="D19" s="90" t="s">
        <v>762</v>
      </c>
      <c r="E19" s="90" t="s">
        <v>743</v>
      </c>
      <c r="F19" s="90" t="s">
        <v>741</v>
      </c>
      <c r="G19" s="90" t="s">
        <v>773</v>
      </c>
    </row>
    <row r="20" spans="3:7">
      <c r="D20" s="90" t="s">
        <v>763</v>
      </c>
      <c r="E20" s="90" t="s">
        <v>745</v>
      </c>
      <c r="F20" s="90" t="s">
        <v>741</v>
      </c>
      <c r="G20" s="90" t="s">
        <v>773</v>
      </c>
    </row>
    <row r="21" spans="3:7">
      <c r="D21" s="90" t="s">
        <v>764</v>
      </c>
      <c r="E21" s="90" t="s">
        <v>744</v>
      </c>
      <c r="F21" s="118" t="s">
        <v>767</v>
      </c>
      <c r="G21" s="118" t="s">
        <v>773</v>
      </c>
    </row>
    <row r="22" spans="3:7">
      <c r="E22" s="90" t="s">
        <v>750</v>
      </c>
      <c r="F22" s="118"/>
      <c r="G22" s="118"/>
    </row>
    <row r="24" spans="3:7">
      <c r="C24" s="90">
        <v>3</v>
      </c>
      <c r="D24" s="90" t="s">
        <v>765</v>
      </c>
      <c r="F24" s="90" t="s">
        <v>746</v>
      </c>
      <c r="G24" s="90" t="s">
        <v>773</v>
      </c>
    </row>
    <row r="25" spans="3:7">
      <c r="D25" s="92" t="s">
        <v>747</v>
      </c>
      <c r="E25" s="90" t="s">
        <v>766</v>
      </c>
      <c r="F25" s="118" t="s">
        <v>767</v>
      </c>
      <c r="G25" s="118" t="s">
        <v>773</v>
      </c>
    </row>
    <row r="26" spans="3:7">
      <c r="E26" s="90" t="s">
        <v>768</v>
      </c>
      <c r="F26" s="118"/>
      <c r="G26" s="118"/>
    </row>
    <row r="27" spans="3:7">
      <c r="D27" s="90" t="s">
        <v>748</v>
      </c>
      <c r="E27" t="s">
        <v>769</v>
      </c>
      <c r="F27" t="s">
        <v>741</v>
      </c>
      <c r="G27" s="90" t="s">
        <v>773</v>
      </c>
    </row>
    <row r="28" spans="3:7">
      <c r="D28" s="90" t="s">
        <v>749</v>
      </c>
      <c r="E28" s="90" t="s">
        <v>770</v>
      </c>
      <c r="F28" s="118" t="s">
        <v>771</v>
      </c>
      <c r="G28" s="118" t="s">
        <v>773</v>
      </c>
    </row>
    <row r="29" spans="3:7">
      <c r="E29" s="90" t="s">
        <v>772</v>
      </c>
      <c r="F29" s="118"/>
      <c r="G29" s="118"/>
    </row>
    <row r="1048576" spans="7:7">
      <c r="G1048576" s="90" t="s">
        <v>773</v>
      </c>
    </row>
  </sheetData>
  <mergeCells count="6">
    <mergeCell ref="F25:F26"/>
    <mergeCell ref="F28:F29"/>
    <mergeCell ref="F21:F22"/>
    <mergeCell ref="G28:G29"/>
    <mergeCell ref="G25:G26"/>
    <mergeCell ref="G21:G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계획서</vt:lpstr>
      <vt:lpstr>간트차트</vt:lpstr>
      <vt:lpstr>자료수집</vt:lpstr>
      <vt:lpstr>CreateQurey</vt:lpstr>
      <vt:lpstr>프로시저완성본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김가율</dc:creator>
  <cp:lastModifiedBy>김가율</cp:lastModifiedBy>
  <dcterms:created xsi:type="dcterms:W3CDTF">2023-11-20T00:59:50Z</dcterms:created>
  <dcterms:modified xsi:type="dcterms:W3CDTF">2023-12-03T16:37:51Z</dcterms:modified>
</cp:coreProperties>
</file>